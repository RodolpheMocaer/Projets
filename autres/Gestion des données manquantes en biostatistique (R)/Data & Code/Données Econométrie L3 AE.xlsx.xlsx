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1fc1fffb43fcac5b/Documents/"/>
    </mc:Choice>
  </mc:AlternateContent>
  <xr:revisionPtr revIDLastSave="134" documentId="11_78A7982533B14E5F2FCD532BA566A146AF8A794A" xr6:coauthVersionLast="47" xr6:coauthVersionMax="47" xr10:uidLastSave="{A522A803-5169-4D19-B4EB-72BF13A7719E}"/>
  <bookViews>
    <workbookView xWindow="-108" yWindow="-108" windowWidth="23256" windowHeight="12456" xr2:uid="{00000000-000D-0000-FFFF-FFFF00000000}"/>
  </bookViews>
  <sheets>
    <sheet name="Données" sheetId="1" r:id="rId1"/>
    <sheet name="Prévision E" sheetId="2" r:id="rId2"/>
    <sheet name="Prévision F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" i="4" l="1"/>
  <c r="D110" i="4"/>
  <c r="E109" i="4"/>
  <c r="G109" i="4"/>
  <c r="H109" i="4"/>
  <c r="I109" i="4"/>
  <c r="C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3" i="4"/>
  <c r="I106" i="2"/>
  <c r="I110" i="2"/>
  <c r="I108" i="2"/>
  <c r="E110" i="2"/>
  <c r="D109" i="2"/>
  <c r="F109" i="2"/>
  <c r="G109" i="2"/>
  <c r="C109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7" i="2"/>
  <c r="I3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3" i="2"/>
  <c r="E2" i="1"/>
  <c r="E109" i="2" l="1"/>
  <c r="M3" i="2" s="1"/>
  <c r="U3" i="2" s="1"/>
  <c r="M108" i="2"/>
  <c r="U108" i="2" s="1"/>
  <c r="M107" i="2"/>
  <c r="U107" i="2" s="1"/>
  <c r="M106" i="2"/>
  <c r="U106" i="2" s="1"/>
  <c r="M105" i="2"/>
  <c r="U105" i="2" s="1"/>
  <c r="M104" i="2"/>
  <c r="U104" i="2" s="1"/>
  <c r="M103" i="2"/>
  <c r="U103" i="2" s="1"/>
  <c r="M102" i="2"/>
  <c r="U102" i="2" s="1"/>
  <c r="M101" i="2"/>
  <c r="U101" i="2" s="1"/>
  <c r="M100" i="2"/>
  <c r="U100" i="2" s="1"/>
  <c r="M99" i="2"/>
  <c r="U99" i="2" s="1"/>
  <c r="M98" i="2"/>
  <c r="U98" i="2" s="1"/>
  <c r="M97" i="2"/>
  <c r="U97" i="2" s="1"/>
  <c r="M96" i="2"/>
  <c r="U96" i="2" s="1"/>
  <c r="M95" i="2"/>
  <c r="U95" i="2" s="1"/>
  <c r="M94" i="2"/>
  <c r="U94" i="2" s="1"/>
  <c r="M93" i="2"/>
  <c r="U93" i="2" s="1"/>
  <c r="M92" i="2"/>
  <c r="U92" i="2" s="1"/>
  <c r="M91" i="2"/>
  <c r="U91" i="2" s="1"/>
  <c r="M90" i="2"/>
  <c r="U90" i="2" s="1"/>
  <c r="M89" i="2"/>
  <c r="U89" i="2" s="1"/>
  <c r="M88" i="2"/>
  <c r="U88" i="2" s="1"/>
  <c r="M87" i="2"/>
  <c r="U87" i="2" s="1"/>
  <c r="M86" i="2"/>
  <c r="U86" i="2" s="1"/>
  <c r="M85" i="2"/>
  <c r="U85" i="2" s="1"/>
  <c r="M84" i="2"/>
  <c r="U84" i="2" s="1"/>
  <c r="M83" i="2"/>
  <c r="U83" i="2" s="1"/>
  <c r="M82" i="2"/>
  <c r="U82" i="2" s="1"/>
  <c r="M81" i="2"/>
  <c r="U81" i="2" s="1"/>
  <c r="M80" i="2"/>
  <c r="U80" i="2" s="1"/>
  <c r="M79" i="2"/>
  <c r="U79" i="2" s="1"/>
  <c r="M78" i="2"/>
  <c r="U78" i="2" s="1"/>
  <c r="M77" i="2"/>
  <c r="U77" i="2" s="1"/>
  <c r="M76" i="2"/>
  <c r="U76" i="2" s="1"/>
  <c r="M75" i="2"/>
  <c r="U75" i="2" s="1"/>
  <c r="M74" i="2"/>
  <c r="U74" i="2" s="1"/>
  <c r="M73" i="2"/>
  <c r="U73" i="2" s="1"/>
  <c r="M72" i="2"/>
  <c r="U72" i="2" s="1"/>
  <c r="M71" i="2"/>
  <c r="U71" i="2" s="1"/>
  <c r="M70" i="2"/>
  <c r="U70" i="2" s="1"/>
  <c r="M69" i="2"/>
  <c r="U69" i="2" s="1"/>
  <c r="M68" i="2"/>
  <c r="U68" i="2" s="1"/>
  <c r="M67" i="2"/>
  <c r="U67" i="2" s="1"/>
  <c r="M66" i="2"/>
  <c r="U66" i="2" s="1"/>
  <c r="M65" i="2"/>
  <c r="U65" i="2" s="1"/>
  <c r="M64" i="2"/>
  <c r="U64" i="2" s="1"/>
  <c r="M63" i="2"/>
  <c r="U63" i="2" s="1"/>
  <c r="M62" i="2"/>
  <c r="U62" i="2" s="1"/>
  <c r="M61" i="2"/>
  <c r="U61" i="2" s="1"/>
  <c r="M60" i="2"/>
  <c r="U60" i="2" s="1"/>
  <c r="M59" i="2"/>
  <c r="U59" i="2" s="1"/>
  <c r="M58" i="2"/>
  <c r="U58" i="2" s="1"/>
  <c r="M57" i="2"/>
  <c r="U57" i="2" s="1"/>
  <c r="M56" i="2"/>
  <c r="U56" i="2" s="1"/>
  <c r="M55" i="2"/>
  <c r="U55" i="2" s="1"/>
  <c r="M54" i="2"/>
  <c r="U54" i="2" s="1"/>
  <c r="M53" i="2"/>
  <c r="U53" i="2" s="1"/>
  <c r="M52" i="2"/>
  <c r="U52" i="2" s="1"/>
  <c r="M51" i="2"/>
  <c r="U51" i="2" s="1"/>
  <c r="M50" i="2"/>
  <c r="U50" i="2" s="1"/>
  <c r="M49" i="2"/>
  <c r="U49" i="2" s="1"/>
  <c r="M48" i="2"/>
  <c r="U48" i="2" s="1"/>
  <c r="M47" i="2"/>
  <c r="U47" i="2" s="1"/>
  <c r="M46" i="2"/>
  <c r="U46" i="2" s="1"/>
  <c r="M45" i="2"/>
  <c r="U45" i="2" s="1"/>
  <c r="M44" i="2"/>
  <c r="U44" i="2" s="1"/>
  <c r="M43" i="2"/>
  <c r="U43" i="2" s="1"/>
  <c r="M42" i="2"/>
  <c r="U42" i="2" s="1"/>
  <c r="M41" i="2"/>
  <c r="U41" i="2" s="1"/>
  <c r="M40" i="2"/>
  <c r="U40" i="2" s="1"/>
  <c r="M39" i="2"/>
  <c r="U39" i="2" s="1"/>
  <c r="M38" i="2"/>
  <c r="U38" i="2" s="1"/>
  <c r="M37" i="2"/>
  <c r="U37" i="2" s="1"/>
  <c r="M36" i="2"/>
  <c r="U36" i="2" s="1"/>
  <c r="M35" i="2"/>
  <c r="U35" i="2" s="1"/>
  <c r="M34" i="2"/>
  <c r="U34" i="2" s="1"/>
  <c r="M33" i="2"/>
  <c r="U33" i="2" s="1"/>
  <c r="M32" i="2"/>
  <c r="U32" i="2" s="1"/>
  <c r="M31" i="2"/>
  <c r="U31" i="2" s="1"/>
  <c r="M30" i="2"/>
  <c r="U30" i="2" s="1"/>
  <c r="M29" i="2"/>
  <c r="U29" i="2" s="1"/>
  <c r="M28" i="2"/>
  <c r="U28" i="2" s="1"/>
  <c r="M27" i="2"/>
  <c r="U27" i="2" s="1"/>
  <c r="M26" i="2"/>
  <c r="U26" i="2" s="1"/>
  <c r="M25" i="2"/>
  <c r="U25" i="2" s="1"/>
  <c r="M24" i="2"/>
  <c r="U24" i="2" s="1"/>
  <c r="M23" i="2"/>
  <c r="U23" i="2" s="1"/>
  <c r="M22" i="2"/>
  <c r="U22" i="2" s="1"/>
  <c r="M21" i="2"/>
  <c r="U21" i="2" s="1"/>
  <c r="M20" i="2"/>
  <c r="U20" i="2" s="1"/>
  <c r="M19" i="2"/>
  <c r="U19" i="2" s="1"/>
  <c r="M18" i="2"/>
  <c r="U18" i="2" s="1"/>
  <c r="M17" i="2"/>
  <c r="U17" i="2" s="1"/>
  <c r="M16" i="2"/>
  <c r="U16" i="2" s="1"/>
  <c r="M15" i="2"/>
  <c r="U15" i="2" s="1"/>
  <c r="M14" i="2"/>
  <c r="U14" i="2" s="1"/>
  <c r="M13" i="2"/>
  <c r="U13" i="2" s="1"/>
  <c r="M12" i="2"/>
  <c r="U12" i="2" s="1"/>
  <c r="M11" i="2"/>
  <c r="U11" i="2" s="1"/>
  <c r="M10" i="2"/>
  <c r="U10" i="2" s="1"/>
  <c r="M9" i="2"/>
  <c r="U9" i="2" s="1"/>
  <c r="M8" i="2"/>
  <c r="U8" i="2" s="1"/>
  <c r="M7" i="2"/>
  <c r="U7" i="2" s="1"/>
  <c r="M6" i="2"/>
  <c r="U6" i="2" s="1"/>
  <c r="M5" i="2"/>
  <c r="U5" i="2" s="1"/>
  <c r="M4" i="2"/>
  <c r="U4" i="2" s="1"/>
  <c r="H109" i="2"/>
  <c r="P4" i="2"/>
  <c r="X4" i="2" s="1"/>
  <c r="P5" i="2"/>
  <c r="X5" i="2" s="1"/>
  <c r="P6" i="2"/>
  <c r="X6" i="2" s="1"/>
  <c r="P7" i="2"/>
  <c r="X7" i="2" s="1"/>
  <c r="P8" i="2"/>
  <c r="X8" i="2" s="1"/>
  <c r="P9" i="2"/>
  <c r="X9" i="2" s="1"/>
  <c r="P10" i="2"/>
  <c r="X10" i="2" s="1"/>
  <c r="P11" i="2"/>
  <c r="X11" i="2" s="1"/>
  <c r="P12" i="2"/>
  <c r="X12" i="2" s="1"/>
  <c r="P13" i="2"/>
  <c r="X13" i="2" s="1"/>
  <c r="P14" i="2"/>
  <c r="X14" i="2" s="1"/>
  <c r="P15" i="2"/>
  <c r="X15" i="2" s="1"/>
  <c r="P16" i="2"/>
  <c r="X16" i="2" s="1"/>
  <c r="P17" i="2"/>
  <c r="X17" i="2" s="1"/>
  <c r="P18" i="2"/>
  <c r="X18" i="2" s="1"/>
  <c r="P19" i="2"/>
  <c r="X19" i="2" s="1"/>
  <c r="P20" i="2"/>
  <c r="X20" i="2" s="1"/>
  <c r="P21" i="2"/>
  <c r="X21" i="2" s="1"/>
  <c r="P22" i="2"/>
  <c r="X22" i="2" s="1"/>
  <c r="P23" i="2"/>
  <c r="X23" i="2" s="1"/>
  <c r="P24" i="2"/>
  <c r="X24" i="2" s="1"/>
  <c r="P25" i="2"/>
  <c r="X25" i="2" s="1"/>
  <c r="P26" i="2"/>
  <c r="X26" i="2" s="1"/>
  <c r="P27" i="2"/>
  <c r="X27" i="2" s="1"/>
  <c r="P28" i="2"/>
  <c r="X28" i="2" s="1"/>
  <c r="P29" i="2"/>
  <c r="X29" i="2" s="1"/>
  <c r="P30" i="2"/>
  <c r="X30" i="2" s="1"/>
  <c r="P31" i="2"/>
  <c r="X31" i="2" s="1"/>
  <c r="P32" i="2"/>
  <c r="X32" i="2" s="1"/>
  <c r="P33" i="2"/>
  <c r="X33" i="2" s="1"/>
  <c r="P34" i="2"/>
  <c r="X34" i="2" s="1"/>
  <c r="P35" i="2"/>
  <c r="X35" i="2" s="1"/>
  <c r="P36" i="2"/>
  <c r="X36" i="2" s="1"/>
  <c r="P37" i="2"/>
  <c r="X37" i="2" s="1"/>
  <c r="P38" i="2"/>
  <c r="X38" i="2" s="1"/>
  <c r="P39" i="2"/>
  <c r="X39" i="2" s="1"/>
  <c r="P40" i="2"/>
  <c r="X40" i="2" s="1"/>
  <c r="P41" i="2"/>
  <c r="X41" i="2" s="1"/>
  <c r="P42" i="2"/>
  <c r="X42" i="2" s="1"/>
  <c r="P43" i="2"/>
  <c r="X43" i="2" s="1"/>
  <c r="P44" i="2"/>
  <c r="X44" i="2" s="1"/>
  <c r="P45" i="2"/>
  <c r="X45" i="2" s="1"/>
  <c r="P46" i="2"/>
  <c r="X46" i="2" s="1"/>
  <c r="P47" i="2"/>
  <c r="X47" i="2" s="1"/>
  <c r="P48" i="2"/>
  <c r="X48" i="2" s="1"/>
  <c r="P49" i="2"/>
  <c r="X49" i="2" s="1"/>
  <c r="P50" i="2"/>
  <c r="X50" i="2" s="1"/>
  <c r="P51" i="2"/>
  <c r="X51" i="2" s="1"/>
  <c r="P52" i="2"/>
  <c r="X52" i="2" s="1"/>
  <c r="P53" i="2"/>
  <c r="X53" i="2" s="1"/>
  <c r="P54" i="2"/>
  <c r="X54" i="2" s="1"/>
  <c r="P55" i="2"/>
  <c r="X55" i="2" s="1"/>
  <c r="P56" i="2"/>
  <c r="X56" i="2" s="1"/>
  <c r="P57" i="2"/>
  <c r="X57" i="2" s="1"/>
  <c r="P58" i="2"/>
  <c r="X58" i="2" s="1"/>
  <c r="P59" i="2"/>
  <c r="X59" i="2" s="1"/>
  <c r="P60" i="2"/>
  <c r="X60" i="2" s="1"/>
  <c r="P61" i="2"/>
  <c r="X61" i="2" s="1"/>
  <c r="P62" i="2"/>
  <c r="X62" i="2" s="1"/>
  <c r="P63" i="2"/>
  <c r="X63" i="2" s="1"/>
  <c r="P64" i="2"/>
  <c r="X64" i="2" s="1"/>
  <c r="P65" i="2"/>
  <c r="X65" i="2" s="1"/>
  <c r="P66" i="2"/>
  <c r="X66" i="2" s="1"/>
  <c r="P67" i="2"/>
  <c r="X67" i="2" s="1"/>
  <c r="P68" i="2"/>
  <c r="X68" i="2" s="1"/>
  <c r="P69" i="2"/>
  <c r="X69" i="2" s="1"/>
  <c r="P70" i="2"/>
  <c r="X70" i="2" s="1"/>
  <c r="P71" i="2"/>
  <c r="X71" i="2" s="1"/>
  <c r="P72" i="2"/>
  <c r="X72" i="2" s="1"/>
  <c r="P73" i="2"/>
  <c r="X73" i="2" s="1"/>
  <c r="P74" i="2"/>
  <c r="X74" i="2" s="1"/>
  <c r="P75" i="2"/>
  <c r="X75" i="2" s="1"/>
  <c r="P76" i="2"/>
  <c r="X76" i="2" s="1"/>
  <c r="P77" i="2"/>
  <c r="X77" i="2" s="1"/>
  <c r="P78" i="2"/>
  <c r="X78" i="2" s="1"/>
  <c r="P79" i="2"/>
  <c r="X79" i="2" s="1"/>
  <c r="P80" i="2"/>
  <c r="X80" i="2" s="1"/>
  <c r="P81" i="2"/>
  <c r="X81" i="2" s="1"/>
  <c r="P82" i="2"/>
  <c r="X82" i="2" s="1"/>
  <c r="P83" i="2"/>
  <c r="X83" i="2" s="1"/>
  <c r="P84" i="2"/>
  <c r="X84" i="2" s="1"/>
  <c r="P85" i="2"/>
  <c r="X85" i="2" s="1"/>
  <c r="P86" i="2"/>
  <c r="X86" i="2" s="1"/>
  <c r="P87" i="2"/>
  <c r="X87" i="2" s="1"/>
  <c r="P88" i="2"/>
  <c r="X88" i="2" s="1"/>
  <c r="P89" i="2"/>
  <c r="X89" i="2" s="1"/>
  <c r="P90" i="2"/>
  <c r="X90" i="2" s="1"/>
  <c r="P91" i="2"/>
  <c r="X91" i="2" s="1"/>
  <c r="P92" i="2"/>
  <c r="X92" i="2" s="1"/>
  <c r="P93" i="2"/>
  <c r="X93" i="2" s="1"/>
  <c r="P94" i="2"/>
  <c r="X94" i="2" s="1"/>
  <c r="P95" i="2"/>
  <c r="X95" i="2" s="1"/>
  <c r="P96" i="2"/>
  <c r="X96" i="2" s="1"/>
  <c r="P97" i="2"/>
  <c r="X97" i="2" s="1"/>
  <c r="P98" i="2"/>
  <c r="X98" i="2" s="1"/>
  <c r="P99" i="2"/>
  <c r="X99" i="2" s="1"/>
  <c r="P100" i="2"/>
  <c r="X100" i="2" s="1"/>
  <c r="P101" i="2"/>
  <c r="X101" i="2" s="1"/>
  <c r="P102" i="2"/>
  <c r="X102" i="2" s="1"/>
  <c r="P103" i="2"/>
  <c r="X103" i="2" s="1"/>
  <c r="P104" i="2"/>
  <c r="X104" i="2" s="1"/>
  <c r="P105" i="2"/>
  <c r="X105" i="2" s="1"/>
  <c r="P106" i="2"/>
  <c r="X106" i="2" s="1"/>
  <c r="P107" i="2"/>
  <c r="X107" i="2" s="1"/>
  <c r="P108" i="2"/>
  <c r="X108" i="2" s="1"/>
  <c r="I109" i="2"/>
  <c r="Q3" i="2" s="1"/>
  <c r="Y3" i="2" s="1"/>
  <c r="Q107" i="2"/>
  <c r="Y107" i="2" s="1"/>
  <c r="Q105" i="2"/>
  <c r="Y105" i="2" s="1"/>
  <c r="Q104" i="2"/>
  <c r="Y104" i="2" s="1"/>
  <c r="Q103" i="2"/>
  <c r="Y103" i="2" s="1"/>
  <c r="Q102" i="2"/>
  <c r="Y102" i="2" s="1"/>
  <c r="Q101" i="2"/>
  <c r="Y101" i="2" s="1"/>
  <c r="Q100" i="2"/>
  <c r="Y100" i="2" s="1"/>
  <c r="Q99" i="2"/>
  <c r="Y99" i="2" s="1"/>
  <c r="Q98" i="2"/>
  <c r="Y98" i="2" s="1"/>
  <c r="Q97" i="2"/>
  <c r="Y97" i="2" s="1"/>
  <c r="Q96" i="2"/>
  <c r="Y96" i="2" s="1"/>
  <c r="Q95" i="2"/>
  <c r="Y95" i="2" s="1"/>
  <c r="Q94" i="2"/>
  <c r="Y94" i="2" s="1"/>
  <c r="Q93" i="2"/>
  <c r="Y93" i="2" s="1"/>
  <c r="Q92" i="2"/>
  <c r="Y92" i="2" s="1"/>
  <c r="Q91" i="2"/>
  <c r="Y91" i="2" s="1"/>
  <c r="Q90" i="2"/>
  <c r="Y90" i="2" s="1"/>
  <c r="Q89" i="2"/>
  <c r="Y89" i="2" s="1"/>
  <c r="Q88" i="2"/>
  <c r="Y88" i="2" s="1"/>
  <c r="Q87" i="2"/>
  <c r="Y87" i="2" s="1"/>
  <c r="Q86" i="2"/>
  <c r="Y86" i="2" s="1"/>
  <c r="Q85" i="2"/>
  <c r="Y85" i="2" s="1"/>
  <c r="Q84" i="2"/>
  <c r="Y84" i="2" s="1"/>
  <c r="Q83" i="2"/>
  <c r="Y83" i="2" s="1"/>
  <c r="Q82" i="2"/>
  <c r="Y82" i="2" s="1"/>
  <c r="Q81" i="2"/>
  <c r="Y81" i="2" s="1"/>
  <c r="Q80" i="2"/>
  <c r="Y80" i="2" s="1"/>
  <c r="Q79" i="2"/>
  <c r="Y79" i="2" s="1"/>
  <c r="Q78" i="2"/>
  <c r="Y78" i="2" s="1"/>
  <c r="Q77" i="2"/>
  <c r="Y77" i="2" s="1"/>
  <c r="Q76" i="2"/>
  <c r="Y76" i="2" s="1"/>
  <c r="Q75" i="2"/>
  <c r="Y75" i="2" s="1"/>
  <c r="Q74" i="2"/>
  <c r="Y74" i="2" s="1"/>
  <c r="Q73" i="2"/>
  <c r="Y73" i="2" s="1"/>
  <c r="Q72" i="2"/>
  <c r="Y72" i="2" s="1"/>
  <c r="Q71" i="2"/>
  <c r="Y71" i="2" s="1"/>
  <c r="Q70" i="2"/>
  <c r="Y70" i="2" s="1"/>
  <c r="Q69" i="2"/>
  <c r="Y69" i="2" s="1"/>
  <c r="Q68" i="2"/>
  <c r="Y68" i="2" s="1"/>
  <c r="Q67" i="2"/>
  <c r="Y67" i="2" s="1"/>
  <c r="Q66" i="2"/>
  <c r="Y66" i="2" s="1"/>
  <c r="Q65" i="2"/>
  <c r="Y65" i="2" s="1"/>
  <c r="Q64" i="2"/>
  <c r="Y64" i="2" s="1"/>
  <c r="Q63" i="2"/>
  <c r="Y63" i="2" s="1"/>
  <c r="Q62" i="2"/>
  <c r="Y62" i="2" s="1"/>
  <c r="Q61" i="2"/>
  <c r="Y61" i="2" s="1"/>
  <c r="Q60" i="2"/>
  <c r="Y60" i="2" s="1"/>
  <c r="Q59" i="2"/>
  <c r="Y59" i="2" s="1"/>
  <c r="Q58" i="2"/>
  <c r="Y58" i="2" s="1"/>
  <c r="Q57" i="2"/>
  <c r="Y57" i="2" s="1"/>
  <c r="Q56" i="2"/>
  <c r="Y56" i="2" s="1"/>
  <c r="Q55" i="2"/>
  <c r="Y55" i="2" s="1"/>
  <c r="Q54" i="2"/>
  <c r="Y54" i="2" s="1"/>
  <c r="Q53" i="2"/>
  <c r="Y53" i="2" s="1"/>
  <c r="Q52" i="2"/>
  <c r="Y52" i="2" s="1"/>
  <c r="Q51" i="2"/>
  <c r="Y51" i="2" s="1"/>
  <c r="Q50" i="2"/>
  <c r="Y50" i="2" s="1"/>
  <c r="Q49" i="2"/>
  <c r="Y49" i="2" s="1"/>
  <c r="Q48" i="2"/>
  <c r="Y48" i="2" s="1"/>
  <c r="Q47" i="2"/>
  <c r="Y47" i="2" s="1"/>
  <c r="Q46" i="2"/>
  <c r="Y46" i="2" s="1"/>
  <c r="Q45" i="2"/>
  <c r="Y45" i="2" s="1"/>
  <c r="Q44" i="2"/>
  <c r="Y44" i="2" s="1"/>
  <c r="Q43" i="2"/>
  <c r="Y43" i="2" s="1"/>
  <c r="Q42" i="2"/>
  <c r="Y42" i="2" s="1"/>
  <c r="Q41" i="2"/>
  <c r="Y41" i="2" s="1"/>
  <c r="Q40" i="2"/>
  <c r="Y40" i="2" s="1"/>
  <c r="Q39" i="2"/>
  <c r="Y39" i="2" s="1"/>
  <c r="Q38" i="2"/>
  <c r="Y38" i="2" s="1"/>
  <c r="Q37" i="2"/>
  <c r="Y37" i="2" s="1"/>
  <c r="Q36" i="2"/>
  <c r="Y36" i="2" s="1"/>
  <c r="Q35" i="2"/>
  <c r="Y35" i="2" s="1"/>
  <c r="Q34" i="2"/>
  <c r="Y34" i="2" s="1"/>
  <c r="Q33" i="2"/>
  <c r="Y33" i="2" s="1"/>
  <c r="Q32" i="2"/>
  <c r="Y32" i="2" s="1"/>
  <c r="Q31" i="2"/>
  <c r="Y31" i="2" s="1"/>
  <c r="Q30" i="2"/>
  <c r="Y30" i="2" s="1"/>
  <c r="Q29" i="2"/>
  <c r="Y29" i="2" s="1"/>
  <c r="Q28" i="2"/>
  <c r="Y28" i="2" s="1"/>
  <c r="Q27" i="2"/>
  <c r="Y27" i="2" s="1"/>
  <c r="Q26" i="2"/>
  <c r="Y26" i="2" s="1"/>
  <c r="Q25" i="2"/>
  <c r="Y25" i="2" s="1"/>
  <c r="Q24" i="2"/>
  <c r="Y24" i="2" s="1"/>
  <c r="Q23" i="2"/>
  <c r="Y23" i="2" s="1"/>
  <c r="Q22" i="2"/>
  <c r="Y22" i="2" s="1"/>
  <c r="Q21" i="2"/>
  <c r="Y21" i="2" s="1"/>
  <c r="Q20" i="2"/>
  <c r="Y20" i="2" s="1"/>
  <c r="Q19" i="2"/>
  <c r="Y19" i="2" s="1"/>
  <c r="Q18" i="2"/>
  <c r="Y18" i="2" s="1"/>
  <c r="Q17" i="2"/>
  <c r="Y17" i="2" s="1"/>
  <c r="Q16" i="2"/>
  <c r="Y16" i="2" s="1"/>
  <c r="Q15" i="2"/>
  <c r="Y15" i="2" s="1"/>
  <c r="Q14" i="2"/>
  <c r="Y14" i="2" s="1"/>
  <c r="Q13" i="2"/>
  <c r="Y13" i="2" s="1"/>
  <c r="Q12" i="2"/>
  <c r="Y12" i="2" s="1"/>
  <c r="Q11" i="2"/>
  <c r="Y11" i="2" s="1"/>
  <c r="Q10" i="2"/>
  <c r="Y10" i="2" s="1"/>
  <c r="Q9" i="2"/>
  <c r="Y9" i="2" s="1"/>
  <c r="Q8" i="2"/>
  <c r="Y8" i="2" s="1"/>
  <c r="Q7" i="2"/>
  <c r="Y7" i="2" s="1"/>
  <c r="Q6" i="2"/>
  <c r="Y6" i="2" s="1"/>
  <c r="Q5" i="2"/>
  <c r="Y5" i="2" s="1"/>
  <c r="Q4" i="2"/>
  <c r="Y4" i="2" s="1"/>
  <c r="K108" i="2"/>
  <c r="S108" i="2" s="1"/>
  <c r="K5" i="2"/>
  <c r="S5" i="2" s="1"/>
  <c r="K6" i="2"/>
  <c r="S6" i="2" s="1"/>
  <c r="K7" i="2"/>
  <c r="S7" i="2" s="1"/>
  <c r="K8" i="2"/>
  <c r="S8" i="2" s="1"/>
  <c r="K9" i="2"/>
  <c r="S9" i="2" s="1"/>
  <c r="K10" i="2"/>
  <c r="S10" i="2" s="1"/>
  <c r="K11" i="2"/>
  <c r="S11" i="2" s="1"/>
  <c r="K12" i="2"/>
  <c r="S12" i="2" s="1"/>
  <c r="K13" i="2"/>
  <c r="S13" i="2" s="1"/>
  <c r="K14" i="2"/>
  <c r="S14" i="2" s="1"/>
  <c r="K15" i="2"/>
  <c r="S15" i="2" s="1"/>
  <c r="K16" i="2"/>
  <c r="S16" i="2" s="1"/>
  <c r="K17" i="2"/>
  <c r="S17" i="2" s="1"/>
  <c r="K18" i="2"/>
  <c r="S18" i="2" s="1"/>
  <c r="K19" i="2"/>
  <c r="S19" i="2" s="1"/>
  <c r="K20" i="2"/>
  <c r="S20" i="2" s="1"/>
  <c r="K21" i="2"/>
  <c r="S21" i="2" s="1"/>
  <c r="K22" i="2"/>
  <c r="S22" i="2" s="1"/>
  <c r="K23" i="2"/>
  <c r="S23" i="2" s="1"/>
  <c r="K24" i="2"/>
  <c r="S24" i="2" s="1"/>
  <c r="K25" i="2"/>
  <c r="S25" i="2" s="1"/>
  <c r="K26" i="2"/>
  <c r="S26" i="2" s="1"/>
  <c r="K27" i="2"/>
  <c r="S27" i="2" s="1"/>
  <c r="K28" i="2"/>
  <c r="S28" i="2" s="1"/>
  <c r="K29" i="2"/>
  <c r="S29" i="2" s="1"/>
  <c r="K30" i="2"/>
  <c r="S30" i="2" s="1"/>
  <c r="K31" i="2"/>
  <c r="S31" i="2" s="1"/>
  <c r="K32" i="2"/>
  <c r="S32" i="2" s="1"/>
  <c r="K33" i="2"/>
  <c r="S33" i="2" s="1"/>
  <c r="K34" i="2"/>
  <c r="S34" i="2" s="1"/>
  <c r="K35" i="2"/>
  <c r="S35" i="2" s="1"/>
  <c r="K36" i="2"/>
  <c r="S36" i="2" s="1"/>
  <c r="K37" i="2"/>
  <c r="S37" i="2" s="1"/>
  <c r="K38" i="2"/>
  <c r="S38" i="2" s="1"/>
  <c r="K39" i="2"/>
  <c r="S39" i="2" s="1"/>
  <c r="K40" i="2"/>
  <c r="S40" i="2" s="1"/>
  <c r="K41" i="2"/>
  <c r="S41" i="2" s="1"/>
  <c r="K42" i="2"/>
  <c r="S42" i="2" s="1"/>
  <c r="K43" i="2"/>
  <c r="S43" i="2" s="1"/>
  <c r="K44" i="2"/>
  <c r="S44" i="2" s="1"/>
  <c r="K45" i="2"/>
  <c r="S45" i="2" s="1"/>
  <c r="K46" i="2"/>
  <c r="S46" i="2" s="1"/>
  <c r="K47" i="2"/>
  <c r="S47" i="2" s="1"/>
  <c r="K48" i="2"/>
  <c r="S48" i="2" s="1"/>
  <c r="K49" i="2"/>
  <c r="S49" i="2" s="1"/>
  <c r="K50" i="2"/>
  <c r="S50" i="2" s="1"/>
  <c r="K51" i="2"/>
  <c r="S51" i="2" s="1"/>
  <c r="K52" i="2"/>
  <c r="S52" i="2" s="1"/>
  <c r="K53" i="2"/>
  <c r="S53" i="2" s="1"/>
  <c r="K54" i="2"/>
  <c r="S54" i="2" s="1"/>
  <c r="K55" i="2"/>
  <c r="S55" i="2" s="1"/>
  <c r="K56" i="2"/>
  <c r="S56" i="2" s="1"/>
  <c r="K57" i="2"/>
  <c r="S57" i="2" s="1"/>
  <c r="K58" i="2"/>
  <c r="S58" i="2" s="1"/>
  <c r="K59" i="2"/>
  <c r="S59" i="2" s="1"/>
  <c r="K60" i="2"/>
  <c r="S60" i="2" s="1"/>
  <c r="K61" i="2"/>
  <c r="S61" i="2" s="1"/>
  <c r="K62" i="2"/>
  <c r="S62" i="2" s="1"/>
  <c r="K63" i="2"/>
  <c r="S63" i="2" s="1"/>
  <c r="K64" i="2"/>
  <c r="S64" i="2" s="1"/>
  <c r="K65" i="2"/>
  <c r="S65" i="2" s="1"/>
  <c r="K66" i="2"/>
  <c r="S66" i="2" s="1"/>
  <c r="K67" i="2"/>
  <c r="S67" i="2" s="1"/>
  <c r="K68" i="2"/>
  <c r="S68" i="2" s="1"/>
  <c r="K69" i="2"/>
  <c r="S69" i="2" s="1"/>
  <c r="K70" i="2"/>
  <c r="S70" i="2" s="1"/>
  <c r="K71" i="2"/>
  <c r="S71" i="2" s="1"/>
  <c r="K72" i="2"/>
  <c r="S72" i="2" s="1"/>
  <c r="K73" i="2"/>
  <c r="S73" i="2" s="1"/>
  <c r="K74" i="2"/>
  <c r="S74" i="2" s="1"/>
  <c r="K75" i="2"/>
  <c r="S75" i="2" s="1"/>
  <c r="K76" i="2"/>
  <c r="S76" i="2" s="1"/>
  <c r="K77" i="2"/>
  <c r="S77" i="2" s="1"/>
  <c r="K78" i="2"/>
  <c r="S78" i="2" s="1"/>
  <c r="K79" i="2"/>
  <c r="S79" i="2" s="1"/>
  <c r="K80" i="2"/>
  <c r="S80" i="2" s="1"/>
  <c r="K81" i="2"/>
  <c r="S81" i="2" s="1"/>
  <c r="K82" i="2"/>
  <c r="S82" i="2" s="1"/>
  <c r="K83" i="2"/>
  <c r="S83" i="2" s="1"/>
  <c r="K84" i="2"/>
  <c r="S84" i="2" s="1"/>
  <c r="K85" i="2"/>
  <c r="S85" i="2" s="1"/>
  <c r="K86" i="2"/>
  <c r="S86" i="2" s="1"/>
  <c r="K87" i="2"/>
  <c r="S87" i="2" s="1"/>
  <c r="K88" i="2"/>
  <c r="S88" i="2" s="1"/>
  <c r="K89" i="2"/>
  <c r="S89" i="2" s="1"/>
  <c r="K90" i="2"/>
  <c r="S90" i="2" s="1"/>
  <c r="K91" i="2"/>
  <c r="S91" i="2" s="1"/>
  <c r="K92" i="2"/>
  <c r="S92" i="2" s="1"/>
  <c r="K93" i="2"/>
  <c r="S93" i="2" s="1"/>
  <c r="K94" i="2"/>
  <c r="S94" i="2" s="1"/>
  <c r="K95" i="2"/>
  <c r="S95" i="2" s="1"/>
  <c r="K96" i="2"/>
  <c r="S96" i="2" s="1"/>
  <c r="K97" i="2"/>
  <c r="S97" i="2" s="1"/>
  <c r="K98" i="2"/>
  <c r="S98" i="2" s="1"/>
  <c r="K99" i="2"/>
  <c r="S99" i="2" s="1"/>
  <c r="K100" i="2"/>
  <c r="S100" i="2" s="1"/>
  <c r="K101" i="2"/>
  <c r="S101" i="2" s="1"/>
  <c r="K102" i="2"/>
  <c r="S102" i="2" s="1"/>
  <c r="K103" i="2"/>
  <c r="S103" i="2" s="1"/>
  <c r="K104" i="2"/>
  <c r="S104" i="2" s="1"/>
  <c r="K105" i="2"/>
  <c r="S105" i="2" s="1"/>
  <c r="K106" i="2"/>
  <c r="S106" i="2" s="1"/>
  <c r="K107" i="2"/>
  <c r="S107" i="2" s="1"/>
  <c r="K4" i="2"/>
  <c r="S4" i="2" s="1"/>
  <c r="K3" i="2"/>
  <c r="O4" i="2"/>
  <c r="W4" i="2" s="1"/>
  <c r="O5" i="2"/>
  <c r="W5" i="2" s="1"/>
  <c r="O6" i="2"/>
  <c r="W6" i="2" s="1"/>
  <c r="O7" i="2"/>
  <c r="W7" i="2" s="1"/>
  <c r="O8" i="2"/>
  <c r="W8" i="2" s="1"/>
  <c r="O9" i="2"/>
  <c r="W9" i="2" s="1"/>
  <c r="O10" i="2"/>
  <c r="W10" i="2" s="1"/>
  <c r="O11" i="2"/>
  <c r="W11" i="2" s="1"/>
  <c r="O12" i="2"/>
  <c r="W12" i="2" s="1"/>
  <c r="O13" i="2"/>
  <c r="W13" i="2" s="1"/>
  <c r="O14" i="2"/>
  <c r="W14" i="2" s="1"/>
  <c r="O15" i="2"/>
  <c r="W15" i="2" s="1"/>
  <c r="O16" i="2"/>
  <c r="W16" i="2" s="1"/>
  <c r="O17" i="2"/>
  <c r="W17" i="2" s="1"/>
  <c r="O18" i="2"/>
  <c r="W18" i="2" s="1"/>
  <c r="O19" i="2"/>
  <c r="W19" i="2" s="1"/>
  <c r="O20" i="2"/>
  <c r="W20" i="2" s="1"/>
  <c r="O21" i="2"/>
  <c r="W21" i="2" s="1"/>
  <c r="O22" i="2"/>
  <c r="W22" i="2" s="1"/>
  <c r="O23" i="2"/>
  <c r="W23" i="2" s="1"/>
  <c r="O24" i="2"/>
  <c r="W24" i="2" s="1"/>
  <c r="O25" i="2"/>
  <c r="W25" i="2" s="1"/>
  <c r="O26" i="2"/>
  <c r="W26" i="2" s="1"/>
  <c r="O27" i="2"/>
  <c r="W27" i="2" s="1"/>
  <c r="O28" i="2"/>
  <c r="W28" i="2" s="1"/>
  <c r="O29" i="2"/>
  <c r="W29" i="2" s="1"/>
  <c r="O30" i="2"/>
  <c r="W30" i="2" s="1"/>
  <c r="O31" i="2"/>
  <c r="W31" i="2" s="1"/>
  <c r="O32" i="2"/>
  <c r="W32" i="2" s="1"/>
  <c r="O33" i="2"/>
  <c r="W33" i="2" s="1"/>
  <c r="O34" i="2"/>
  <c r="W34" i="2" s="1"/>
  <c r="O35" i="2"/>
  <c r="W35" i="2" s="1"/>
  <c r="O36" i="2"/>
  <c r="W36" i="2" s="1"/>
  <c r="O37" i="2"/>
  <c r="W37" i="2" s="1"/>
  <c r="O38" i="2"/>
  <c r="W38" i="2" s="1"/>
  <c r="O39" i="2"/>
  <c r="W39" i="2" s="1"/>
  <c r="O40" i="2"/>
  <c r="W40" i="2" s="1"/>
  <c r="O41" i="2"/>
  <c r="W41" i="2" s="1"/>
  <c r="O42" i="2"/>
  <c r="W42" i="2" s="1"/>
  <c r="O43" i="2"/>
  <c r="W43" i="2" s="1"/>
  <c r="O44" i="2"/>
  <c r="W44" i="2" s="1"/>
  <c r="O45" i="2"/>
  <c r="W45" i="2" s="1"/>
  <c r="O46" i="2"/>
  <c r="W46" i="2" s="1"/>
  <c r="O47" i="2"/>
  <c r="W47" i="2" s="1"/>
  <c r="O48" i="2"/>
  <c r="W48" i="2" s="1"/>
  <c r="O49" i="2"/>
  <c r="W49" i="2" s="1"/>
  <c r="O50" i="2"/>
  <c r="W50" i="2" s="1"/>
  <c r="O51" i="2"/>
  <c r="W51" i="2" s="1"/>
  <c r="O52" i="2"/>
  <c r="W52" i="2" s="1"/>
  <c r="O53" i="2"/>
  <c r="W53" i="2" s="1"/>
  <c r="O54" i="2"/>
  <c r="W54" i="2" s="1"/>
  <c r="O55" i="2"/>
  <c r="W55" i="2" s="1"/>
  <c r="O56" i="2"/>
  <c r="W56" i="2" s="1"/>
  <c r="O57" i="2"/>
  <c r="W57" i="2" s="1"/>
  <c r="O58" i="2"/>
  <c r="W58" i="2" s="1"/>
  <c r="O59" i="2"/>
  <c r="W59" i="2" s="1"/>
  <c r="O60" i="2"/>
  <c r="W60" i="2" s="1"/>
  <c r="O61" i="2"/>
  <c r="W61" i="2" s="1"/>
  <c r="O62" i="2"/>
  <c r="W62" i="2" s="1"/>
  <c r="O63" i="2"/>
  <c r="W63" i="2" s="1"/>
  <c r="O64" i="2"/>
  <c r="W64" i="2" s="1"/>
  <c r="O65" i="2"/>
  <c r="W65" i="2" s="1"/>
  <c r="O66" i="2"/>
  <c r="W66" i="2" s="1"/>
  <c r="O67" i="2"/>
  <c r="W67" i="2" s="1"/>
  <c r="O68" i="2"/>
  <c r="W68" i="2" s="1"/>
  <c r="O69" i="2"/>
  <c r="W69" i="2" s="1"/>
  <c r="O70" i="2"/>
  <c r="W70" i="2" s="1"/>
  <c r="O71" i="2"/>
  <c r="W71" i="2" s="1"/>
  <c r="O72" i="2"/>
  <c r="W72" i="2" s="1"/>
  <c r="O73" i="2"/>
  <c r="W73" i="2" s="1"/>
  <c r="O74" i="2"/>
  <c r="W74" i="2" s="1"/>
  <c r="O75" i="2"/>
  <c r="W75" i="2" s="1"/>
  <c r="O76" i="2"/>
  <c r="W76" i="2" s="1"/>
  <c r="O77" i="2"/>
  <c r="W77" i="2" s="1"/>
  <c r="O78" i="2"/>
  <c r="W78" i="2" s="1"/>
  <c r="O79" i="2"/>
  <c r="W79" i="2" s="1"/>
  <c r="O80" i="2"/>
  <c r="W80" i="2" s="1"/>
  <c r="O81" i="2"/>
  <c r="W81" i="2" s="1"/>
  <c r="O82" i="2"/>
  <c r="W82" i="2" s="1"/>
  <c r="O83" i="2"/>
  <c r="W83" i="2" s="1"/>
  <c r="O84" i="2"/>
  <c r="W84" i="2" s="1"/>
  <c r="O85" i="2"/>
  <c r="W85" i="2" s="1"/>
  <c r="O86" i="2"/>
  <c r="W86" i="2" s="1"/>
  <c r="O87" i="2"/>
  <c r="W87" i="2" s="1"/>
  <c r="O88" i="2"/>
  <c r="W88" i="2" s="1"/>
  <c r="O89" i="2"/>
  <c r="W89" i="2" s="1"/>
  <c r="O90" i="2"/>
  <c r="W90" i="2" s="1"/>
  <c r="O91" i="2"/>
  <c r="W91" i="2" s="1"/>
  <c r="O92" i="2"/>
  <c r="W92" i="2" s="1"/>
  <c r="O93" i="2"/>
  <c r="W93" i="2" s="1"/>
  <c r="O94" i="2"/>
  <c r="W94" i="2" s="1"/>
  <c r="O95" i="2"/>
  <c r="W95" i="2" s="1"/>
  <c r="O96" i="2"/>
  <c r="W96" i="2" s="1"/>
  <c r="O97" i="2"/>
  <c r="W97" i="2" s="1"/>
  <c r="O98" i="2"/>
  <c r="W98" i="2" s="1"/>
  <c r="O99" i="2"/>
  <c r="W99" i="2" s="1"/>
  <c r="O100" i="2"/>
  <c r="W100" i="2" s="1"/>
  <c r="O101" i="2"/>
  <c r="W101" i="2" s="1"/>
  <c r="O102" i="2"/>
  <c r="W102" i="2" s="1"/>
  <c r="O103" i="2"/>
  <c r="W103" i="2" s="1"/>
  <c r="O104" i="2"/>
  <c r="W104" i="2" s="1"/>
  <c r="O105" i="2"/>
  <c r="W105" i="2" s="1"/>
  <c r="O106" i="2"/>
  <c r="W106" i="2" s="1"/>
  <c r="O107" i="2"/>
  <c r="W107" i="2" s="1"/>
  <c r="O108" i="2"/>
  <c r="W108" i="2" s="1"/>
  <c r="O3" i="2"/>
  <c r="W3" i="2" s="1"/>
  <c r="W109" i="2" s="1"/>
  <c r="G111" i="2" s="1"/>
  <c r="N4" i="2"/>
  <c r="V4" i="2" s="1"/>
  <c r="N5" i="2"/>
  <c r="V5" i="2" s="1"/>
  <c r="N6" i="2"/>
  <c r="V6" i="2" s="1"/>
  <c r="N7" i="2"/>
  <c r="V7" i="2" s="1"/>
  <c r="N8" i="2"/>
  <c r="V8" i="2" s="1"/>
  <c r="N9" i="2"/>
  <c r="V9" i="2" s="1"/>
  <c r="N10" i="2"/>
  <c r="V10" i="2" s="1"/>
  <c r="N11" i="2"/>
  <c r="V11" i="2" s="1"/>
  <c r="N12" i="2"/>
  <c r="V12" i="2" s="1"/>
  <c r="N13" i="2"/>
  <c r="V13" i="2" s="1"/>
  <c r="N14" i="2"/>
  <c r="V14" i="2" s="1"/>
  <c r="N15" i="2"/>
  <c r="V15" i="2" s="1"/>
  <c r="N16" i="2"/>
  <c r="V16" i="2" s="1"/>
  <c r="N17" i="2"/>
  <c r="V17" i="2" s="1"/>
  <c r="N18" i="2"/>
  <c r="V18" i="2" s="1"/>
  <c r="N19" i="2"/>
  <c r="V19" i="2" s="1"/>
  <c r="N20" i="2"/>
  <c r="V20" i="2" s="1"/>
  <c r="N21" i="2"/>
  <c r="V21" i="2" s="1"/>
  <c r="N22" i="2"/>
  <c r="V22" i="2" s="1"/>
  <c r="N23" i="2"/>
  <c r="V23" i="2" s="1"/>
  <c r="N24" i="2"/>
  <c r="V24" i="2" s="1"/>
  <c r="N25" i="2"/>
  <c r="V25" i="2" s="1"/>
  <c r="N26" i="2"/>
  <c r="V26" i="2" s="1"/>
  <c r="N27" i="2"/>
  <c r="V27" i="2" s="1"/>
  <c r="N28" i="2"/>
  <c r="V28" i="2" s="1"/>
  <c r="N29" i="2"/>
  <c r="V29" i="2" s="1"/>
  <c r="N30" i="2"/>
  <c r="V30" i="2" s="1"/>
  <c r="N31" i="2"/>
  <c r="V31" i="2" s="1"/>
  <c r="N32" i="2"/>
  <c r="V32" i="2" s="1"/>
  <c r="N33" i="2"/>
  <c r="V33" i="2" s="1"/>
  <c r="N34" i="2"/>
  <c r="V34" i="2" s="1"/>
  <c r="N35" i="2"/>
  <c r="V35" i="2" s="1"/>
  <c r="N36" i="2"/>
  <c r="V36" i="2" s="1"/>
  <c r="N37" i="2"/>
  <c r="V37" i="2" s="1"/>
  <c r="N38" i="2"/>
  <c r="V38" i="2" s="1"/>
  <c r="N39" i="2"/>
  <c r="V39" i="2" s="1"/>
  <c r="N40" i="2"/>
  <c r="V40" i="2" s="1"/>
  <c r="N41" i="2"/>
  <c r="V41" i="2" s="1"/>
  <c r="N42" i="2"/>
  <c r="V42" i="2" s="1"/>
  <c r="N43" i="2"/>
  <c r="V43" i="2" s="1"/>
  <c r="N44" i="2"/>
  <c r="V44" i="2" s="1"/>
  <c r="N45" i="2"/>
  <c r="V45" i="2" s="1"/>
  <c r="N46" i="2"/>
  <c r="V46" i="2" s="1"/>
  <c r="N47" i="2"/>
  <c r="V47" i="2" s="1"/>
  <c r="N48" i="2"/>
  <c r="V48" i="2" s="1"/>
  <c r="N49" i="2"/>
  <c r="V49" i="2" s="1"/>
  <c r="N50" i="2"/>
  <c r="V50" i="2" s="1"/>
  <c r="N51" i="2"/>
  <c r="V51" i="2" s="1"/>
  <c r="N52" i="2"/>
  <c r="V52" i="2" s="1"/>
  <c r="N53" i="2"/>
  <c r="V53" i="2" s="1"/>
  <c r="N54" i="2"/>
  <c r="V54" i="2" s="1"/>
  <c r="N55" i="2"/>
  <c r="V55" i="2" s="1"/>
  <c r="N56" i="2"/>
  <c r="V56" i="2" s="1"/>
  <c r="N57" i="2"/>
  <c r="V57" i="2" s="1"/>
  <c r="N58" i="2"/>
  <c r="V58" i="2" s="1"/>
  <c r="N59" i="2"/>
  <c r="V59" i="2" s="1"/>
  <c r="N60" i="2"/>
  <c r="V60" i="2" s="1"/>
  <c r="N61" i="2"/>
  <c r="V61" i="2" s="1"/>
  <c r="N62" i="2"/>
  <c r="V62" i="2" s="1"/>
  <c r="N63" i="2"/>
  <c r="V63" i="2" s="1"/>
  <c r="N64" i="2"/>
  <c r="V64" i="2" s="1"/>
  <c r="N65" i="2"/>
  <c r="V65" i="2" s="1"/>
  <c r="N66" i="2"/>
  <c r="V66" i="2" s="1"/>
  <c r="N67" i="2"/>
  <c r="V67" i="2" s="1"/>
  <c r="N68" i="2"/>
  <c r="V68" i="2" s="1"/>
  <c r="N69" i="2"/>
  <c r="V69" i="2" s="1"/>
  <c r="N70" i="2"/>
  <c r="V70" i="2" s="1"/>
  <c r="N71" i="2"/>
  <c r="V71" i="2" s="1"/>
  <c r="N72" i="2"/>
  <c r="V72" i="2" s="1"/>
  <c r="N73" i="2"/>
  <c r="V73" i="2" s="1"/>
  <c r="N74" i="2"/>
  <c r="V74" i="2" s="1"/>
  <c r="N75" i="2"/>
  <c r="V75" i="2" s="1"/>
  <c r="N76" i="2"/>
  <c r="V76" i="2" s="1"/>
  <c r="N77" i="2"/>
  <c r="V77" i="2" s="1"/>
  <c r="N78" i="2"/>
  <c r="V78" i="2" s="1"/>
  <c r="N79" i="2"/>
  <c r="V79" i="2" s="1"/>
  <c r="N80" i="2"/>
  <c r="V80" i="2" s="1"/>
  <c r="N81" i="2"/>
  <c r="V81" i="2" s="1"/>
  <c r="N82" i="2"/>
  <c r="V82" i="2" s="1"/>
  <c r="N83" i="2"/>
  <c r="V83" i="2" s="1"/>
  <c r="N84" i="2"/>
  <c r="V84" i="2" s="1"/>
  <c r="N85" i="2"/>
  <c r="V85" i="2" s="1"/>
  <c r="N86" i="2"/>
  <c r="V86" i="2" s="1"/>
  <c r="N87" i="2"/>
  <c r="V87" i="2" s="1"/>
  <c r="N88" i="2"/>
  <c r="V88" i="2" s="1"/>
  <c r="N89" i="2"/>
  <c r="V89" i="2" s="1"/>
  <c r="N90" i="2"/>
  <c r="V90" i="2" s="1"/>
  <c r="N91" i="2"/>
  <c r="V91" i="2" s="1"/>
  <c r="N92" i="2"/>
  <c r="V92" i="2" s="1"/>
  <c r="N93" i="2"/>
  <c r="V93" i="2" s="1"/>
  <c r="N94" i="2"/>
  <c r="V94" i="2" s="1"/>
  <c r="N95" i="2"/>
  <c r="V95" i="2" s="1"/>
  <c r="N96" i="2"/>
  <c r="V96" i="2" s="1"/>
  <c r="N97" i="2"/>
  <c r="V97" i="2" s="1"/>
  <c r="N98" i="2"/>
  <c r="V98" i="2" s="1"/>
  <c r="N99" i="2"/>
  <c r="V99" i="2" s="1"/>
  <c r="N100" i="2"/>
  <c r="V100" i="2" s="1"/>
  <c r="N101" i="2"/>
  <c r="V101" i="2" s="1"/>
  <c r="N102" i="2"/>
  <c r="V102" i="2" s="1"/>
  <c r="N103" i="2"/>
  <c r="V103" i="2" s="1"/>
  <c r="N104" i="2"/>
  <c r="V104" i="2" s="1"/>
  <c r="N105" i="2"/>
  <c r="V105" i="2" s="1"/>
  <c r="N106" i="2"/>
  <c r="V106" i="2" s="1"/>
  <c r="N107" i="2"/>
  <c r="V107" i="2" s="1"/>
  <c r="N108" i="2"/>
  <c r="V108" i="2" s="1"/>
  <c r="N3" i="2"/>
  <c r="V3" i="2" s="1"/>
  <c r="V109" i="2" s="1"/>
  <c r="F111" i="2" s="1"/>
  <c r="L4" i="2"/>
  <c r="T4" i="2" s="1"/>
  <c r="L5" i="2"/>
  <c r="T5" i="2" s="1"/>
  <c r="L6" i="2"/>
  <c r="T6" i="2" s="1"/>
  <c r="L7" i="2"/>
  <c r="T7" i="2" s="1"/>
  <c r="L8" i="2"/>
  <c r="T8" i="2" s="1"/>
  <c r="L9" i="2"/>
  <c r="T9" i="2" s="1"/>
  <c r="L10" i="2"/>
  <c r="T10" i="2" s="1"/>
  <c r="L11" i="2"/>
  <c r="T11" i="2" s="1"/>
  <c r="L12" i="2"/>
  <c r="T12" i="2" s="1"/>
  <c r="L13" i="2"/>
  <c r="T13" i="2" s="1"/>
  <c r="L14" i="2"/>
  <c r="T14" i="2" s="1"/>
  <c r="L15" i="2"/>
  <c r="T15" i="2" s="1"/>
  <c r="L16" i="2"/>
  <c r="T16" i="2" s="1"/>
  <c r="L17" i="2"/>
  <c r="T17" i="2" s="1"/>
  <c r="L18" i="2"/>
  <c r="T18" i="2" s="1"/>
  <c r="L19" i="2"/>
  <c r="T19" i="2" s="1"/>
  <c r="L20" i="2"/>
  <c r="T20" i="2" s="1"/>
  <c r="L21" i="2"/>
  <c r="T21" i="2" s="1"/>
  <c r="L22" i="2"/>
  <c r="T22" i="2" s="1"/>
  <c r="L23" i="2"/>
  <c r="T23" i="2" s="1"/>
  <c r="L24" i="2"/>
  <c r="T24" i="2" s="1"/>
  <c r="L25" i="2"/>
  <c r="T25" i="2" s="1"/>
  <c r="L26" i="2"/>
  <c r="T26" i="2" s="1"/>
  <c r="L27" i="2"/>
  <c r="T27" i="2" s="1"/>
  <c r="L28" i="2"/>
  <c r="T28" i="2" s="1"/>
  <c r="L29" i="2"/>
  <c r="T29" i="2" s="1"/>
  <c r="L30" i="2"/>
  <c r="T30" i="2" s="1"/>
  <c r="L31" i="2"/>
  <c r="T31" i="2" s="1"/>
  <c r="L32" i="2"/>
  <c r="T32" i="2" s="1"/>
  <c r="L33" i="2"/>
  <c r="T33" i="2" s="1"/>
  <c r="L34" i="2"/>
  <c r="T34" i="2" s="1"/>
  <c r="L35" i="2"/>
  <c r="T35" i="2" s="1"/>
  <c r="L36" i="2"/>
  <c r="T36" i="2" s="1"/>
  <c r="L37" i="2"/>
  <c r="T37" i="2" s="1"/>
  <c r="L38" i="2"/>
  <c r="T38" i="2" s="1"/>
  <c r="L39" i="2"/>
  <c r="T39" i="2" s="1"/>
  <c r="L40" i="2"/>
  <c r="T40" i="2" s="1"/>
  <c r="L41" i="2"/>
  <c r="T41" i="2" s="1"/>
  <c r="L42" i="2"/>
  <c r="T42" i="2" s="1"/>
  <c r="L43" i="2"/>
  <c r="T43" i="2" s="1"/>
  <c r="L44" i="2"/>
  <c r="T44" i="2" s="1"/>
  <c r="L45" i="2"/>
  <c r="T45" i="2" s="1"/>
  <c r="L46" i="2"/>
  <c r="T46" i="2" s="1"/>
  <c r="L47" i="2"/>
  <c r="T47" i="2" s="1"/>
  <c r="L48" i="2"/>
  <c r="T48" i="2" s="1"/>
  <c r="L49" i="2"/>
  <c r="T49" i="2" s="1"/>
  <c r="L50" i="2"/>
  <c r="T50" i="2" s="1"/>
  <c r="L51" i="2"/>
  <c r="T51" i="2" s="1"/>
  <c r="L52" i="2"/>
  <c r="T52" i="2" s="1"/>
  <c r="L53" i="2"/>
  <c r="T53" i="2" s="1"/>
  <c r="L54" i="2"/>
  <c r="T54" i="2" s="1"/>
  <c r="L55" i="2"/>
  <c r="T55" i="2" s="1"/>
  <c r="L56" i="2"/>
  <c r="T56" i="2" s="1"/>
  <c r="L57" i="2"/>
  <c r="T57" i="2" s="1"/>
  <c r="L58" i="2"/>
  <c r="T58" i="2" s="1"/>
  <c r="L59" i="2"/>
  <c r="T59" i="2" s="1"/>
  <c r="L60" i="2"/>
  <c r="T60" i="2" s="1"/>
  <c r="L61" i="2"/>
  <c r="T61" i="2" s="1"/>
  <c r="L62" i="2"/>
  <c r="T62" i="2" s="1"/>
  <c r="L63" i="2"/>
  <c r="T63" i="2" s="1"/>
  <c r="L64" i="2"/>
  <c r="T64" i="2" s="1"/>
  <c r="L65" i="2"/>
  <c r="T65" i="2" s="1"/>
  <c r="L66" i="2"/>
  <c r="T66" i="2" s="1"/>
  <c r="L67" i="2"/>
  <c r="T67" i="2" s="1"/>
  <c r="L68" i="2"/>
  <c r="T68" i="2" s="1"/>
  <c r="L69" i="2"/>
  <c r="T69" i="2" s="1"/>
  <c r="L70" i="2"/>
  <c r="T70" i="2" s="1"/>
  <c r="L71" i="2"/>
  <c r="T71" i="2" s="1"/>
  <c r="L72" i="2"/>
  <c r="T72" i="2" s="1"/>
  <c r="L73" i="2"/>
  <c r="T73" i="2" s="1"/>
  <c r="L74" i="2"/>
  <c r="T74" i="2" s="1"/>
  <c r="L75" i="2"/>
  <c r="T75" i="2" s="1"/>
  <c r="L76" i="2"/>
  <c r="T76" i="2" s="1"/>
  <c r="L77" i="2"/>
  <c r="T77" i="2" s="1"/>
  <c r="L78" i="2"/>
  <c r="T78" i="2" s="1"/>
  <c r="L79" i="2"/>
  <c r="T79" i="2" s="1"/>
  <c r="L80" i="2"/>
  <c r="T80" i="2" s="1"/>
  <c r="L81" i="2"/>
  <c r="T81" i="2" s="1"/>
  <c r="L82" i="2"/>
  <c r="T82" i="2" s="1"/>
  <c r="L83" i="2"/>
  <c r="T83" i="2" s="1"/>
  <c r="L84" i="2"/>
  <c r="T84" i="2" s="1"/>
  <c r="L85" i="2"/>
  <c r="T85" i="2" s="1"/>
  <c r="L86" i="2"/>
  <c r="T86" i="2" s="1"/>
  <c r="L87" i="2"/>
  <c r="T87" i="2" s="1"/>
  <c r="L88" i="2"/>
  <c r="T88" i="2" s="1"/>
  <c r="L89" i="2"/>
  <c r="T89" i="2" s="1"/>
  <c r="L90" i="2"/>
  <c r="T90" i="2" s="1"/>
  <c r="L91" i="2"/>
  <c r="T91" i="2" s="1"/>
  <c r="L92" i="2"/>
  <c r="T92" i="2" s="1"/>
  <c r="L93" i="2"/>
  <c r="T93" i="2" s="1"/>
  <c r="L94" i="2"/>
  <c r="T94" i="2" s="1"/>
  <c r="L95" i="2"/>
  <c r="T95" i="2" s="1"/>
  <c r="L96" i="2"/>
  <c r="T96" i="2" s="1"/>
  <c r="L97" i="2"/>
  <c r="T97" i="2" s="1"/>
  <c r="L98" i="2"/>
  <c r="T98" i="2" s="1"/>
  <c r="L99" i="2"/>
  <c r="T99" i="2" s="1"/>
  <c r="L100" i="2"/>
  <c r="T100" i="2" s="1"/>
  <c r="L101" i="2"/>
  <c r="T101" i="2" s="1"/>
  <c r="L102" i="2"/>
  <c r="T102" i="2" s="1"/>
  <c r="L103" i="2"/>
  <c r="T103" i="2" s="1"/>
  <c r="L104" i="2"/>
  <c r="T104" i="2" s="1"/>
  <c r="L105" i="2"/>
  <c r="T105" i="2" s="1"/>
  <c r="L106" i="2"/>
  <c r="T106" i="2" s="1"/>
  <c r="L107" i="2"/>
  <c r="T107" i="2" s="1"/>
  <c r="L108" i="2"/>
  <c r="T108" i="2" s="1"/>
  <c r="L3" i="2"/>
  <c r="T3" i="2" s="1"/>
  <c r="T109" i="2" s="1"/>
  <c r="D111" i="2" s="1"/>
  <c r="Q108" i="2"/>
  <c r="Y108" i="2" s="1"/>
  <c r="Q106" i="2"/>
  <c r="Y106" i="2" s="1"/>
  <c r="D109" i="4"/>
  <c r="M3" i="4" s="1"/>
  <c r="V3" i="4" s="1"/>
  <c r="M108" i="4"/>
  <c r="V108" i="4" s="1"/>
  <c r="M107" i="4"/>
  <c r="V107" i="4" s="1"/>
  <c r="M106" i="4"/>
  <c r="V106" i="4" s="1"/>
  <c r="M105" i="4"/>
  <c r="V105" i="4" s="1"/>
  <c r="M104" i="4"/>
  <c r="V104" i="4" s="1"/>
  <c r="M103" i="4"/>
  <c r="V103" i="4" s="1"/>
  <c r="M102" i="4"/>
  <c r="V102" i="4" s="1"/>
  <c r="M101" i="4"/>
  <c r="V101" i="4" s="1"/>
  <c r="M100" i="4"/>
  <c r="V100" i="4" s="1"/>
  <c r="M99" i="4"/>
  <c r="V99" i="4" s="1"/>
  <c r="M98" i="4"/>
  <c r="V98" i="4" s="1"/>
  <c r="M97" i="4"/>
  <c r="V97" i="4" s="1"/>
  <c r="M96" i="4"/>
  <c r="V96" i="4" s="1"/>
  <c r="M95" i="4"/>
  <c r="V95" i="4" s="1"/>
  <c r="M94" i="4"/>
  <c r="V94" i="4" s="1"/>
  <c r="M93" i="4"/>
  <c r="V93" i="4" s="1"/>
  <c r="M92" i="4"/>
  <c r="V92" i="4" s="1"/>
  <c r="M91" i="4"/>
  <c r="V91" i="4" s="1"/>
  <c r="M90" i="4"/>
  <c r="V90" i="4" s="1"/>
  <c r="M89" i="4"/>
  <c r="V89" i="4" s="1"/>
  <c r="M88" i="4"/>
  <c r="V88" i="4" s="1"/>
  <c r="M87" i="4"/>
  <c r="V87" i="4" s="1"/>
  <c r="M86" i="4"/>
  <c r="V86" i="4" s="1"/>
  <c r="M85" i="4"/>
  <c r="V85" i="4" s="1"/>
  <c r="M84" i="4"/>
  <c r="V84" i="4" s="1"/>
  <c r="M83" i="4"/>
  <c r="V83" i="4" s="1"/>
  <c r="M82" i="4"/>
  <c r="V82" i="4" s="1"/>
  <c r="M81" i="4"/>
  <c r="V81" i="4" s="1"/>
  <c r="M80" i="4"/>
  <c r="V80" i="4" s="1"/>
  <c r="M79" i="4"/>
  <c r="V79" i="4" s="1"/>
  <c r="M78" i="4"/>
  <c r="V78" i="4" s="1"/>
  <c r="M77" i="4"/>
  <c r="V77" i="4" s="1"/>
  <c r="M76" i="4"/>
  <c r="V76" i="4" s="1"/>
  <c r="M75" i="4"/>
  <c r="V75" i="4" s="1"/>
  <c r="M74" i="4"/>
  <c r="V74" i="4" s="1"/>
  <c r="M73" i="4"/>
  <c r="V73" i="4" s="1"/>
  <c r="M72" i="4"/>
  <c r="V72" i="4" s="1"/>
  <c r="M71" i="4"/>
  <c r="V71" i="4" s="1"/>
  <c r="M70" i="4"/>
  <c r="V70" i="4" s="1"/>
  <c r="M69" i="4"/>
  <c r="V69" i="4" s="1"/>
  <c r="M68" i="4"/>
  <c r="V68" i="4" s="1"/>
  <c r="M67" i="4"/>
  <c r="V67" i="4" s="1"/>
  <c r="M66" i="4"/>
  <c r="V66" i="4" s="1"/>
  <c r="M65" i="4"/>
  <c r="V65" i="4" s="1"/>
  <c r="M64" i="4"/>
  <c r="V64" i="4" s="1"/>
  <c r="M63" i="4"/>
  <c r="V63" i="4" s="1"/>
  <c r="M62" i="4"/>
  <c r="V62" i="4" s="1"/>
  <c r="M61" i="4"/>
  <c r="V61" i="4" s="1"/>
  <c r="M60" i="4"/>
  <c r="V60" i="4" s="1"/>
  <c r="M59" i="4"/>
  <c r="V59" i="4" s="1"/>
  <c r="M58" i="4"/>
  <c r="V58" i="4" s="1"/>
  <c r="M57" i="4"/>
  <c r="V57" i="4" s="1"/>
  <c r="M56" i="4"/>
  <c r="V56" i="4" s="1"/>
  <c r="M55" i="4"/>
  <c r="V55" i="4" s="1"/>
  <c r="M54" i="4"/>
  <c r="V54" i="4" s="1"/>
  <c r="M53" i="4"/>
  <c r="V53" i="4" s="1"/>
  <c r="M52" i="4"/>
  <c r="V52" i="4" s="1"/>
  <c r="M51" i="4"/>
  <c r="V51" i="4" s="1"/>
  <c r="M50" i="4"/>
  <c r="V50" i="4" s="1"/>
  <c r="M49" i="4"/>
  <c r="V49" i="4" s="1"/>
  <c r="M48" i="4"/>
  <c r="V48" i="4" s="1"/>
  <c r="M47" i="4"/>
  <c r="V47" i="4" s="1"/>
  <c r="M46" i="4"/>
  <c r="V46" i="4" s="1"/>
  <c r="M45" i="4"/>
  <c r="V45" i="4" s="1"/>
  <c r="M44" i="4"/>
  <c r="V44" i="4" s="1"/>
  <c r="M43" i="4"/>
  <c r="V43" i="4" s="1"/>
  <c r="M42" i="4"/>
  <c r="V42" i="4" s="1"/>
  <c r="M41" i="4"/>
  <c r="V41" i="4" s="1"/>
  <c r="M40" i="4"/>
  <c r="V40" i="4" s="1"/>
  <c r="M39" i="4"/>
  <c r="V39" i="4" s="1"/>
  <c r="M38" i="4"/>
  <c r="V38" i="4" s="1"/>
  <c r="M37" i="4"/>
  <c r="V37" i="4" s="1"/>
  <c r="M36" i="4"/>
  <c r="V36" i="4" s="1"/>
  <c r="M35" i="4"/>
  <c r="V35" i="4" s="1"/>
  <c r="M34" i="4"/>
  <c r="V34" i="4" s="1"/>
  <c r="M33" i="4"/>
  <c r="V33" i="4" s="1"/>
  <c r="M32" i="4"/>
  <c r="V32" i="4" s="1"/>
  <c r="M31" i="4"/>
  <c r="V31" i="4" s="1"/>
  <c r="M30" i="4"/>
  <c r="V30" i="4" s="1"/>
  <c r="M29" i="4"/>
  <c r="V29" i="4" s="1"/>
  <c r="M28" i="4"/>
  <c r="V28" i="4" s="1"/>
  <c r="M27" i="4"/>
  <c r="V27" i="4" s="1"/>
  <c r="M26" i="4"/>
  <c r="V26" i="4" s="1"/>
  <c r="M25" i="4"/>
  <c r="V25" i="4" s="1"/>
  <c r="M24" i="4"/>
  <c r="V24" i="4" s="1"/>
  <c r="M23" i="4"/>
  <c r="V23" i="4" s="1"/>
  <c r="M22" i="4"/>
  <c r="V22" i="4" s="1"/>
  <c r="M21" i="4"/>
  <c r="V21" i="4" s="1"/>
  <c r="M20" i="4"/>
  <c r="V20" i="4" s="1"/>
  <c r="M19" i="4"/>
  <c r="V19" i="4" s="1"/>
  <c r="M18" i="4"/>
  <c r="V18" i="4" s="1"/>
  <c r="M17" i="4"/>
  <c r="V17" i="4" s="1"/>
  <c r="M16" i="4"/>
  <c r="V16" i="4" s="1"/>
  <c r="M15" i="4"/>
  <c r="V15" i="4" s="1"/>
  <c r="M14" i="4"/>
  <c r="V14" i="4" s="1"/>
  <c r="M13" i="4"/>
  <c r="V13" i="4" s="1"/>
  <c r="M12" i="4"/>
  <c r="V12" i="4" s="1"/>
  <c r="M11" i="4"/>
  <c r="V11" i="4" s="1"/>
  <c r="M10" i="4"/>
  <c r="V10" i="4" s="1"/>
  <c r="M9" i="4"/>
  <c r="V9" i="4" s="1"/>
  <c r="M8" i="4"/>
  <c r="V8" i="4" s="1"/>
  <c r="M7" i="4"/>
  <c r="V7" i="4" s="1"/>
  <c r="M6" i="4"/>
  <c r="V6" i="4" s="1"/>
  <c r="M5" i="4"/>
  <c r="V5" i="4" s="1"/>
  <c r="M4" i="4"/>
  <c r="V4" i="4" s="1"/>
  <c r="F109" i="4"/>
  <c r="O3" i="4" s="1"/>
  <c r="X3" i="4" s="1"/>
  <c r="O108" i="4"/>
  <c r="X108" i="4" s="1"/>
  <c r="O107" i="4"/>
  <c r="X107" i="4" s="1"/>
  <c r="O106" i="4"/>
  <c r="X106" i="4" s="1"/>
  <c r="O105" i="4"/>
  <c r="X105" i="4" s="1"/>
  <c r="O104" i="4"/>
  <c r="X104" i="4" s="1"/>
  <c r="O103" i="4"/>
  <c r="X103" i="4" s="1"/>
  <c r="O102" i="4"/>
  <c r="X102" i="4" s="1"/>
  <c r="O101" i="4"/>
  <c r="X101" i="4" s="1"/>
  <c r="O100" i="4"/>
  <c r="X100" i="4" s="1"/>
  <c r="O99" i="4"/>
  <c r="X99" i="4" s="1"/>
  <c r="O98" i="4"/>
  <c r="X98" i="4" s="1"/>
  <c r="O97" i="4"/>
  <c r="X97" i="4" s="1"/>
  <c r="O96" i="4"/>
  <c r="X96" i="4" s="1"/>
  <c r="O95" i="4"/>
  <c r="X95" i="4" s="1"/>
  <c r="O94" i="4"/>
  <c r="X94" i="4" s="1"/>
  <c r="O93" i="4"/>
  <c r="X93" i="4" s="1"/>
  <c r="O92" i="4"/>
  <c r="X92" i="4" s="1"/>
  <c r="O91" i="4"/>
  <c r="X91" i="4" s="1"/>
  <c r="O90" i="4"/>
  <c r="X90" i="4" s="1"/>
  <c r="O89" i="4"/>
  <c r="X89" i="4" s="1"/>
  <c r="O88" i="4"/>
  <c r="X88" i="4" s="1"/>
  <c r="O87" i="4"/>
  <c r="X87" i="4" s="1"/>
  <c r="O86" i="4"/>
  <c r="X86" i="4" s="1"/>
  <c r="O85" i="4"/>
  <c r="X85" i="4" s="1"/>
  <c r="O84" i="4"/>
  <c r="X84" i="4" s="1"/>
  <c r="O83" i="4"/>
  <c r="X83" i="4" s="1"/>
  <c r="O82" i="4"/>
  <c r="X82" i="4" s="1"/>
  <c r="O81" i="4"/>
  <c r="X81" i="4" s="1"/>
  <c r="O80" i="4"/>
  <c r="X80" i="4" s="1"/>
  <c r="O79" i="4"/>
  <c r="X79" i="4" s="1"/>
  <c r="O78" i="4"/>
  <c r="X78" i="4" s="1"/>
  <c r="O77" i="4"/>
  <c r="X77" i="4" s="1"/>
  <c r="O76" i="4"/>
  <c r="X76" i="4" s="1"/>
  <c r="O75" i="4"/>
  <c r="X75" i="4" s="1"/>
  <c r="O74" i="4"/>
  <c r="X74" i="4" s="1"/>
  <c r="O73" i="4"/>
  <c r="X73" i="4" s="1"/>
  <c r="O72" i="4"/>
  <c r="X72" i="4" s="1"/>
  <c r="O71" i="4"/>
  <c r="X71" i="4" s="1"/>
  <c r="O70" i="4"/>
  <c r="X70" i="4" s="1"/>
  <c r="O69" i="4"/>
  <c r="X69" i="4" s="1"/>
  <c r="O68" i="4"/>
  <c r="X68" i="4" s="1"/>
  <c r="O67" i="4"/>
  <c r="X67" i="4" s="1"/>
  <c r="O66" i="4"/>
  <c r="X66" i="4" s="1"/>
  <c r="O65" i="4"/>
  <c r="X65" i="4" s="1"/>
  <c r="O64" i="4"/>
  <c r="X64" i="4" s="1"/>
  <c r="O63" i="4"/>
  <c r="X63" i="4" s="1"/>
  <c r="O62" i="4"/>
  <c r="X62" i="4" s="1"/>
  <c r="O61" i="4"/>
  <c r="X61" i="4" s="1"/>
  <c r="O60" i="4"/>
  <c r="X60" i="4" s="1"/>
  <c r="O59" i="4"/>
  <c r="X59" i="4" s="1"/>
  <c r="O58" i="4"/>
  <c r="X58" i="4" s="1"/>
  <c r="O57" i="4"/>
  <c r="X57" i="4" s="1"/>
  <c r="O56" i="4"/>
  <c r="X56" i="4" s="1"/>
  <c r="O55" i="4"/>
  <c r="X55" i="4" s="1"/>
  <c r="O54" i="4"/>
  <c r="X54" i="4" s="1"/>
  <c r="O53" i="4"/>
  <c r="X53" i="4" s="1"/>
  <c r="O52" i="4"/>
  <c r="X52" i="4" s="1"/>
  <c r="O51" i="4"/>
  <c r="X51" i="4" s="1"/>
  <c r="O50" i="4"/>
  <c r="X50" i="4" s="1"/>
  <c r="O49" i="4"/>
  <c r="X49" i="4" s="1"/>
  <c r="O48" i="4"/>
  <c r="X48" i="4" s="1"/>
  <c r="O47" i="4"/>
  <c r="X47" i="4" s="1"/>
  <c r="O46" i="4"/>
  <c r="X46" i="4" s="1"/>
  <c r="O45" i="4"/>
  <c r="X45" i="4" s="1"/>
  <c r="O44" i="4"/>
  <c r="X44" i="4" s="1"/>
  <c r="O43" i="4"/>
  <c r="X43" i="4" s="1"/>
  <c r="O42" i="4"/>
  <c r="X42" i="4" s="1"/>
  <c r="O41" i="4"/>
  <c r="X41" i="4" s="1"/>
  <c r="O40" i="4"/>
  <c r="X40" i="4" s="1"/>
  <c r="O39" i="4"/>
  <c r="X39" i="4" s="1"/>
  <c r="O38" i="4"/>
  <c r="X38" i="4" s="1"/>
  <c r="O37" i="4"/>
  <c r="X37" i="4" s="1"/>
  <c r="O36" i="4"/>
  <c r="X36" i="4" s="1"/>
  <c r="O35" i="4"/>
  <c r="X35" i="4" s="1"/>
  <c r="O34" i="4"/>
  <c r="X34" i="4" s="1"/>
  <c r="O33" i="4"/>
  <c r="X33" i="4" s="1"/>
  <c r="O32" i="4"/>
  <c r="X32" i="4" s="1"/>
  <c r="O31" i="4"/>
  <c r="X31" i="4" s="1"/>
  <c r="O30" i="4"/>
  <c r="X30" i="4" s="1"/>
  <c r="O29" i="4"/>
  <c r="X29" i="4" s="1"/>
  <c r="O28" i="4"/>
  <c r="X28" i="4" s="1"/>
  <c r="O27" i="4"/>
  <c r="X27" i="4" s="1"/>
  <c r="O26" i="4"/>
  <c r="X26" i="4" s="1"/>
  <c r="O25" i="4"/>
  <c r="X25" i="4" s="1"/>
  <c r="O24" i="4"/>
  <c r="X24" i="4" s="1"/>
  <c r="O23" i="4"/>
  <c r="X23" i="4" s="1"/>
  <c r="O22" i="4"/>
  <c r="X22" i="4" s="1"/>
  <c r="O21" i="4"/>
  <c r="X21" i="4" s="1"/>
  <c r="O20" i="4"/>
  <c r="X20" i="4" s="1"/>
  <c r="O19" i="4"/>
  <c r="X19" i="4" s="1"/>
  <c r="O18" i="4"/>
  <c r="X18" i="4" s="1"/>
  <c r="O17" i="4"/>
  <c r="X17" i="4" s="1"/>
  <c r="O16" i="4"/>
  <c r="X16" i="4" s="1"/>
  <c r="O15" i="4"/>
  <c r="X15" i="4" s="1"/>
  <c r="O14" i="4"/>
  <c r="X14" i="4" s="1"/>
  <c r="O13" i="4"/>
  <c r="X13" i="4" s="1"/>
  <c r="O12" i="4"/>
  <c r="X12" i="4" s="1"/>
  <c r="O11" i="4"/>
  <c r="X11" i="4" s="1"/>
  <c r="O10" i="4"/>
  <c r="X10" i="4" s="1"/>
  <c r="O9" i="4"/>
  <c r="X9" i="4" s="1"/>
  <c r="O8" i="4"/>
  <c r="X8" i="4" s="1"/>
  <c r="O7" i="4"/>
  <c r="X7" i="4" s="1"/>
  <c r="O6" i="4"/>
  <c r="X6" i="4" s="1"/>
  <c r="O5" i="4"/>
  <c r="X5" i="4" s="1"/>
  <c r="O4" i="4"/>
  <c r="X4" i="4" s="1"/>
  <c r="J109" i="4"/>
  <c r="S4" i="4"/>
  <c r="AB4" i="4" s="1"/>
  <c r="S5" i="4"/>
  <c r="AB5" i="4" s="1"/>
  <c r="S6" i="4"/>
  <c r="AB6" i="4" s="1"/>
  <c r="S7" i="4"/>
  <c r="AB7" i="4" s="1"/>
  <c r="S8" i="4"/>
  <c r="AB8" i="4" s="1"/>
  <c r="S9" i="4"/>
  <c r="AB9" i="4" s="1"/>
  <c r="S10" i="4"/>
  <c r="AB10" i="4" s="1"/>
  <c r="S11" i="4"/>
  <c r="AB11" i="4" s="1"/>
  <c r="S12" i="4"/>
  <c r="AB12" i="4" s="1"/>
  <c r="S13" i="4"/>
  <c r="AB13" i="4" s="1"/>
  <c r="S14" i="4"/>
  <c r="AB14" i="4" s="1"/>
  <c r="S15" i="4"/>
  <c r="AB15" i="4" s="1"/>
  <c r="S16" i="4"/>
  <c r="AB16" i="4" s="1"/>
  <c r="S17" i="4"/>
  <c r="AB17" i="4" s="1"/>
  <c r="S18" i="4"/>
  <c r="AB18" i="4" s="1"/>
  <c r="S19" i="4"/>
  <c r="AB19" i="4" s="1"/>
  <c r="S20" i="4"/>
  <c r="AB20" i="4" s="1"/>
  <c r="S21" i="4"/>
  <c r="AB21" i="4" s="1"/>
  <c r="S22" i="4"/>
  <c r="AB22" i="4" s="1"/>
  <c r="S23" i="4"/>
  <c r="AB23" i="4" s="1"/>
  <c r="S24" i="4"/>
  <c r="AB24" i="4" s="1"/>
  <c r="S25" i="4"/>
  <c r="AB25" i="4" s="1"/>
  <c r="S26" i="4"/>
  <c r="AB26" i="4" s="1"/>
  <c r="S27" i="4"/>
  <c r="AB27" i="4" s="1"/>
  <c r="S28" i="4"/>
  <c r="AB28" i="4" s="1"/>
  <c r="S29" i="4"/>
  <c r="AB29" i="4" s="1"/>
  <c r="S30" i="4"/>
  <c r="AB30" i="4" s="1"/>
  <c r="S31" i="4"/>
  <c r="AB31" i="4" s="1"/>
  <c r="S32" i="4"/>
  <c r="AB32" i="4" s="1"/>
  <c r="S33" i="4"/>
  <c r="AB33" i="4" s="1"/>
  <c r="S34" i="4"/>
  <c r="AB34" i="4" s="1"/>
  <c r="S35" i="4"/>
  <c r="AB35" i="4" s="1"/>
  <c r="S36" i="4"/>
  <c r="AB36" i="4" s="1"/>
  <c r="S37" i="4"/>
  <c r="AB37" i="4" s="1"/>
  <c r="S38" i="4"/>
  <c r="AB38" i="4" s="1"/>
  <c r="S39" i="4"/>
  <c r="AB39" i="4" s="1"/>
  <c r="S40" i="4"/>
  <c r="AB40" i="4" s="1"/>
  <c r="S41" i="4"/>
  <c r="AB41" i="4" s="1"/>
  <c r="S42" i="4"/>
  <c r="AB42" i="4" s="1"/>
  <c r="S43" i="4"/>
  <c r="AB43" i="4" s="1"/>
  <c r="S44" i="4"/>
  <c r="AB44" i="4" s="1"/>
  <c r="S45" i="4"/>
  <c r="AB45" i="4" s="1"/>
  <c r="S46" i="4"/>
  <c r="AB46" i="4" s="1"/>
  <c r="S47" i="4"/>
  <c r="AB47" i="4" s="1"/>
  <c r="S48" i="4"/>
  <c r="AB48" i="4" s="1"/>
  <c r="S49" i="4"/>
  <c r="AB49" i="4" s="1"/>
  <c r="S50" i="4"/>
  <c r="AB50" i="4" s="1"/>
  <c r="S51" i="4"/>
  <c r="AB51" i="4" s="1"/>
  <c r="S52" i="4"/>
  <c r="AB52" i="4" s="1"/>
  <c r="S53" i="4"/>
  <c r="AB53" i="4" s="1"/>
  <c r="S54" i="4"/>
  <c r="AB54" i="4" s="1"/>
  <c r="S55" i="4"/>
  <c r="AB55" i="4" s="1"/>
  <c r="S56" i="4"/>
  <c r="AB56" i="4" s="1"/>
  <c r="S57" i="4"/>
  <c r="AB57" i="4" s="1"/>
  <c r="S58" i="4"/>
  <c r="AB58" i="4" s="1"/>
  <c r="S59" i="4"/>
  <c r="AB59" i="4" s="1"/>
  <c r="S60" i="4"/>
  <c r="AB60" i="4" s="1"/>
  <c r="S61" i="4"/>
  <c r="AB61" i="4" s="1"/>
  <c r="S62" i="4"/>
  <c r="AB62" i="4" s="1"/>
  <c r="S63" i="4"/>
  <c r="AB63" i="4" s="1"/>
  <c r="S64" i="4"/>
  <c r="AB64" i="4" s="1"/>
  <c r="S65" i="4"/>
  <c r="AB65" i="4" s="1"/>
  <c r="S66" i="4"/>
  <c r="AB66" i="4" s="1"/>
  <c r="S67" i="4"/>
  <c r="AB67" i="4" s="1"/>
  <c r="S68" i="4"/>
  <c r="AB68" i="4" s="1"/>
  <c r="S69" i="4"/>
  <c r="AB69" i="4" s="1"/>
  <c r="S70" i="4"/>
  <c r="AB70" i="4" s="1"/>
  <c r="S71" i="4"/>
  <c r="AB71" i="4" s="1"/>
  <c r="S72" i="4"/>
  <c r="AB72" i="4" s="1"/>
  <c r="S73" i="4"/>
  <c r="AB73" i="4" s="1"/>
  <c r="S74" i="4"/>
  <c r="AB74" i="4" s="1"/>
  <c r="S75" i="4"/>
  <c r="AB75" i="4" s="1"/>
  <c r="S76" i="4"/>
  <c r="AB76" i="4" s="1"/>
  <c r="S77" i="4"/>
  <c r="AB77" i="4" s="1"/>
  <c r="S78" i="4"/>
  <c r="AB78" i="4" s="1"/>
  <c r="S79" i="4"/>
  <c r="AB79" i="4" s="1"/>
  <c r="S80" i="4"/>
  <c r="AB80" i="4" s="1"/>
  <c r="S81" i="4"/>
  <c r="AB81" i="4" s="1"/>
  <c r="S82" i="4"/>
  <c r="AB82" i="4" s="1"/>
  <c r="S83" i="4"/>
  <c r="AB83" i="4" s="1"/>
  <c r="S84" i="4"/>
  <c r="AB84" i="4" s="1"/>
  <c r="S85" i="4"/>
  <c r="AB85" i="4" s="1"/>
  <c r="S86" i="4"/>
  <c r="AB86" i="4" s="1"/>
  <c r="S87" i="4"/>
  <c r="AB87" i="4" s="1"/>
  <c r="S88" i="4"/>
  <c r="AB88" i="4" s="1"/>
  <c r="S89" i="4"/>
  <c r="AB89" i="4" s="1"/>
  <c r="S90" i="4"/>
  <c r="AB90" i="4" s="1"/>
  <c r="S91" i="4"/>
  <c r="AB91" i="4" s="1"/>
  <c r="S92" i="4"/>
  <c r="AB92" i="4" s="1"/>
  <c r="S93" i="4"/>
  <c r="AB93" i="4" s="1"/>
  <c r="S94" i="4"/>
  <c r="AB94" i="4" s="1"/>
  <c r="S95" i="4"/>
  <c r="AB95" i="4" s="1"/>
  <c r="S96" i="4"/>
  <c r="AB96" i="4" s="1"/>
  <c r="S97" i="4"/>
  <c r="AB97" i="4" s="1"/>
  <c r="S98" i="4"/>
  <c r="AB98" i="4" s="1"/>
  <c r="S99" i="4"/>
  <c r="AB99" i="4" s="1"/>
  <c r="S100" i="4"/>
  <c r="AB100" i="4" s="1"/>
  <c r="S101" i="4"/>
  <c r="AB101" i="4" s="1"/>
  <c r="S102" i="4"/>
  <c r="AB102" i="4" s="1"/>
  <c r="S103" i="4"/>
  <c r="AB103" i="4" s="1"/>
  <c r="S104" i="4"/>
  <c r="AB104" i="4" s="1"/>
  <c r="S105" i="4"/>
  <c r="AB105" i="4" s="1"/>
  <c r="S106" i="4"/>
  <c r="AB106" i="4" s="1"/>
  <c r="S107" i="4"/>
  <c r="AB107" i="4" s="1"/>
  <c r="S108" i="4"/>
  <c r="AB108" i="4" s="1"/>
  <c r="L4" i="4"/>
  <c r="U4" i="4" s="1"/>
  <c r="L5" i="4"/>
  <c r="U5" i="4" s="1"/>
  <c r="L6" i="4"/>
  <c r="U6" i="4" s="1"/>
  <c r="L7" i="4"/>
  <c r="U7" i="4" s="1"/>
  <c r="L8" i="4"/>
  <c r="U8" i="4" s="1"/>
  <c r="L9" i="4"/>
  <c r="U9" i="4" s="1"/>
  <c r="L10" i="4"/>
  <c r="U10" i="4" s="1"/>
  <c r="L11" i="4"/>
  <c r="U11" i="4" s="1"/>
  <c r="L12" i="4"/>
  <c r="U12" i="4" s="1"/>
  <c r="L13" i="4"/>
  <c r="U13" i="4" s="1"/>
  <c r="L14" i="4"/>
  <c r="U14" i="4" s="1"/>
  <c r="L15" i="4"/>
  <c r="U15" i="4" s="1"/>
  <c r="L16" i="4"/>
  <c r="U16" i="4" s="1"/>
  <c r="L17" i="4"/>
  <c r="U17" i="4" s="1"/>
  <c r="L18" i="4"/>
  <c r="U18" i="4" s="1"/>
  <c r="L19" i="4"/>
  <c r="U19" i="4" s="1"/>
  <c r="L20" i="4"/>
  <c r="U20" i="4" s="1"/>
  <c r="L21" i="4"/>
  <c r="U21" i="4" s="1"/>
  <c r="L22" i="4"/>
  <c r="U22" i="4" s="1"/>
  <c r="L23" i="4"/>
  <c r="U23" i="4" s="1"/>
  <c r="L24" i="4"/>
  <c r="U24" i="4" s="1"/>
  <c r="L25" i="4"/>
  <c r="U25" i="4" s="1"/>
  <c r="L26" i="4"/>
  <c r="U26" i="4" s="1"/>
  <c r="L27" i="4"/>
  <c r="U27" i="4" s="1"/>
  <c r="L28" i="4"/>
  <c r="U28" i="4" s="1"/>
  <c r="L29" i="4"/>
  <c r="U29" i="4" s="1"/>
  <c r="L30" i="4"/>
  <c r="U30" i="4" s="1"/>
  <c r="L31" i="4"/>
  <c r="U31" i="4" s="1"/>
  <c r="L32" i="4"/>
  <c r="U32" i="4" s="1"/>
  <c r="L33" i="4"/>
  <c r="U33" i="4" s="1"/>
  <c r="L34" i="4"/>
  <c r="U34" i="4" s="1"/>
  <c r="L35" i="4"/>
  <c r="U35" i="4" s="1"/>
  <c r="L36" i="4"/>
  <c r="U36" i="4" s="1"/>
  <c r="L37" i="4"/>
  <c r="U37" i="4" s="1"/>
  <c r="L38" i="4"/>
  <c r="U38" i="4" s="1"/>
  <c r="L39" i="4"/>
  <c r="U39" i="4" s="1"/>
  <c r="L40" i="4"/>
  <c r="U40" i="4" s="1"/>
  <c r="L41" i="4"/>
  <c r="U41" i="4" s="1"/>
  <c r="L42" i="4"/>
  <c r="U42" i="4" s="1"/>
  <c r="L43" i="4"/>
  <c r="U43" i="4" s="1"/>
  <c r="L44" i="4"/>
  <c r="U44" i="4" s="1"/>
  <c r="L45" i="4"/>
  <c r="U45" i="4" s="1"/>
  <c r="L46" i="4"/>
  <c r="U46" i="4" s="1"/>
  <c r="L47" i="4"/>
  <c r="U47" i="4" s="1"/>
  <c r="L48" i="4"/>
  <c r="U48" i="4" s="1"/>
  <c r="L49" i="4"/>
  <c r="U49" i="4" s="1"/>
  <c r="L50" i="4"/>
  <c r="U50" i="4" s="1"/>
  <c r="L51" i="4"/>
  <c r="U51" i="4" s="1"/>
  <c r="L52" i="4"/>
  <c r="U52" i="4" s="1"/>
  <c r="L53" i="4"/>
  <c r="U53" i="4" s="1"/>
  <c r="L54" i="4"/>
  <c r="U54" i="4" s="1"/>
  <c r="L55" i="4"/>
  <c r="U55" i="4" s="1"/>
  <c r="L56" i="4"/>
  <c r="U56" i="4" s="1"/>
  <c r="L57" i="4"/>
  <c r="U57" i="4" s="1"/>
  <c r="L58" i="4"/>
  <c r="U58" i="4" s="1"/>
  <c r="L59" i="4"/>
  <c r="U59" i="4" s="1"/>
  <c r="L60" i="4"/>
  <c r="U60" i="4" s="1"/>
  <c r="L61" i="4"/>
  <c r="U61" i="4" s="1"/>
  <c r="L62" i="4"/>
  <c r="U62" i="4" s="1"/>
  <c r="L63" i="4"/>
  <c r="U63" i="4" s="1"/>
  <c r="L64" i="4"/>
  <c r="U64" i="4" s="1"/>
  <c r="L65" i="4"/>
  <c r="U65" i="4" s="1"/>
  <c r="L66" i="4"/>
  <c r="U66" i="4" s="1"/>
  <c r="L67" i="4"/>
  <c r="U67" i="4" s="1"/>
  <c r="L68" i="4"/>
  <c r="U68" i="4" s="1"/>
  <c r="L69" i="4"/>
  <c r="U69" i="4" s="1"/>
  <c r="L70" i="4"/>
  <c r="U70" i="4" s="1"/>
  <c r="L71" i="4"/>
  <c r="U71" i="4" s="1"/>
  <c r="L72" i="4"/>
  <c r="U72" i="4" s="1"/>
  <c r="L73" i="4"/>
  <c r="U73" i="4" s="1"/>
  <c r="L74" i="4"/>
  <c r="U74" i="4" s="1"/>
  <c r="L75" i="4"/>
  <c r="U75" i="4" s="1"/>
  <c r="L76" i="4"/>
  <c r="U76" i="4" s="1"/>
  <c r="L77" i="4"/>
  <c r="U77" i="4" s="1"/>
  <c r="L78" i="4"/>
  <c r="U78" i="4" s="1"/>
  <c r="L79" i="4"/>
  <c r="U79" i="4" s="1"/>
  <c r="L80" i="4"/>
  <c r="U80" i="4" s="1"/>
  <c r="L81" i="4"/>
  <c r="U81" i="4" s="1"/>
  <c r="L82" i="4"/>
  <c r="U82" i="4" s="1"/>
  <c r="L83" i="4"/>
  <c r="U83" i="4" s="1"/>
  <c r="L84" i="4"/>
  <c r="U84" i="4" s="1"/>
  <c r="L85" i="4"/>
  <c r="U85" i="4" s="1"/>
  <c r="L86" i="4"/>
  <c r="U86" i="4" s="1"/>
  <c r="L87" i="4"/>
  <c r="U87" i="4" s="1"/>
  <c r="L88" i="4"/>
  <c r="U88" i="4" s="1"/>
  <c r="L89" i="4"/>
  <c r="U89" i="4" s="1"/>
  <c r="L90" i="4"/>
  <c r="U90" i="4" s="1"/>
  <c r="L91" i="4"/>
  <c r="U91" i="4" s="1"/>
  <c r="L92" i="4"/>
  <c r="U92" i="4" s="1"/>
  <c r="L93" i="4"/>
  <c r="U93" i="4" s="1"/>
  <c r="L94" i="4"/>
  <c r="U94" i="4" s="1"/>
  <c r="L95" i="4"/>
  <c r="U95" i="4" s="1"/>
  <c r="L96" i="4"/>
  <c r="U96" i="4" s="1"/>
  <c r="L97" i="4"/>
  <c r="U97" i="4" s="1"/>
  <c r="L98" i="4"/>
  <c r="U98" i="4" s="1"/>
  <c r="L99" i="4"/>
  <c r="U99" i="4" s="1"/>
  <c r="L100" i="4"/>
  <c r="U100" i="4" s="1"/>
  <c r="L101" i="4"/>
  <c r="U101" i="4" s="1"/>
  <c r="L102" i="4"/>
  <c r="U102" i="4" s="1"/>
  <c r="L103" i="4"/>
  <c r="U103" i="4" s="1"/>
  <c r="L104" i="4"/>
  <c r="U104" i="4" s="1"/>
  <c r="L105" i="4"/>
  <c r="U105" i="4" s="1"/>
  <c r="L106" i="4"/>
  <c r="U106" i="4" s="1"/>
  <c r="L107" i="4"/>
  <c r="U107" i="4" s="1"/>
  <c r="L108" i="4"/>
  <c r="U108" i="4" s="1"/>
  <c r="L3" i="4"/>
  <c r="U3" i="4" s="1"/>
  <c r="U109" i="4" s="1"/>
  <c r="C111" i="4" s="1"/>
  <c r="R4" i="4"/>
  <c r="AA4" i="4" s="1"/>
  <c r="R5" i="4"/>
  <c r="AA5" i="4" s="1"/>
  <c r="R6" i="4"/>
  <c r="AA6" i="4" s="1"/>
  <c r="R7" i="4"/>
  <c r="AA7" i="4" s="1"/>
  <c r="R8" i="4"/>
  <c r="AA8" i="4" s="1"/>
  <c r="R9" i="4"/>
  <c r="AA9" i="4" s="1"/>
  <c r="R10" i="4"/>
  <c r="AA10" i="4" s="1"/>
  <c r="R11" i="4"/>
  <c r="AA11" i="4" s="1"/>
  <c r="R12" i="4"/>
  <c r="AA12" i="4" s="1"/>
  <c r="R13" i="4"/>
  <c r="AA13" i="4" s="1"/>
  <c r="R14" i="4"/>
  <c r="AA14" i="4" s="1"/>
  <c r="R15" i="4"/>
  <c r="AA15" i="4" s="1"/>
  <c r="R16" i="4"/>
  <c r="AA16" i="4" s="1"/>
  <c r="R17" i="4"/>
  <c r="AA17" i="4" s="1"/>
  <c r="R18" i="4"/>
  <c r="AA18" i="4" s="1"/>
  <c r="R19" i="4"/>
  <c r="AA19" i="4" s="1"/>
  <c r="R20" i="4"/>
  <c r="AA20" i="4" s="1"/>
  <c r="R21" i="4"/>
  <c r="AA21" i="4" s="1"/>
  <c r="R22" i="4"/>
  <c r="AA22" i="4" s="1"/>
  <c r="R23" i="4"/>
  <c r="AA23" i="4" s="1"/>
  <c r="R24" i="4"/>
  <c r="AA24" i="4" s="1"/>
  <c r="R25" i="4"/>
  <c r="AA25" i="4" s="1"/>
  <c r="R26" i="4"/>
  <c r="AA26" i="4" s="1"/>
  <c r="R27" i="4"/>
  <c r="AA27" i="4" s="1"/>
  <c r="R28" i="4"/>
  <c r="AA28" i="4" s="1"/>
  <c r="R29" i="4"/>
  <c r="AA29" i="4" s="1"/>
  <c r="R30" i="4"/>
  <c r="AA30" i="4" s="1"/>
  <c r="R31" i="4"/>
  <c r="AA31" i="4" s="1"/>
  <c r="R32" i="4"/>
  <c r="AA32" i="4" s="1"/>
  <c r="R33" i="4"/>
  <c r="AA33" i="4" s="1"/>
  <c r="R34" i="4"/>
  <c r="AA34" i="4" s="1"/>
  <c r="R35" i="4"/>
  <c r="AA35" i="4" s="1"/>
  <c r="R36" i="4"/>
  <c r="AA36" i="4" s="1"/>
  <c r="R37" i="4"/>
  <c r="AA37" i="4" s="1"/>
  <c r="R38" i="4"/>
  <c r="AA38" i="4" s="1"/>
  <c r="R39" i="4"/>
  <c r="AA39" i="4" s="1"/>
  <c r="R40" i="4"/>
  <c r="AA40" i="4" s="1"/>
  <c r="R41" i="4"/>
  <c r="AA41" i="4" s="1"/>
  <c r="R42" i="4"/>
  <c r="AA42" i="4" s="1"/>
  <c r="R43" i="4"/>
  <c r="AA43" i="4" s="1"/>
  <c r="R44" i="4"/>
  <c r="AA44" i="4" s="1"/>
  <c r="R45" i="4"/>
  <c r="AA45" i="4" s="1"/>
  <c r="R46" i="4"/>
  <c r="AA46" i="4" s="1"/>
  <c r="R47" i="4"/>
  <c r="AA47" i="4" s="1"/>
  <c r="R48" i="4"/>
  <c r="AA48" i="4" s="1"/>
  <c r="R49" i="4"/>
  <c r="AA49" i="4" s="1"/>
  <c r="R50" i="4"/>
  <c r="AA50" i="4" s="1"/>
  <c r="R51" i="4"/>
  <c r="AA51" i="4" s="1"/>
  <c r="R52" i="4"/>
  <c r="AA52" i="4" s="1"/>
  <c r="R53" i="4"/>
  <c r="AA53" i="4" s="1"/>
  <c r="R54" i="4"/>
  <c r="AA54" i="4" s="1"/>
  <c r="R55" i="4"/>
  <c r="AA55" i="4" s="1"/>
  <c r="R56" i="4"/>
  <c r="AA56" i="4" s="1"/>
  <c r="R57" i="4"/>
  <c r="AA57" i="4" s="1"/>
  <c r="R58" i="4"/>
  <c r="AA58" i="4" s="1"/>
  <c r="R59" i="4"/>
  <c r="AA59" i="4" s="1"/>
  <c r="R60" i="4"/>
  <c r="AA60" i="4" s="1"/>
  <c r="R61" i="4"/>
  <c r="AA61" i="4" s="1"/>
  <c r="R62" i="4"/>
  <c r="AA62" i="4" s="1"/>
  <c r="R63" i="4"/>
  <c r="AA63" i="4" s="1"/>
  <c r="R64" i="4"/>
  <c r="AA64" i="4" s="1"/>
  <c r="R65" i="4"/>
  <c r="AA65" i="4" s="1"/>
  <c r="R66" i="4"/>
  <c r="AA66" i="4" s="1"/>
  <c r="R67" i="4"/>
  <c r="AA67" i="4" s="1"/>
  <c r="R68" i="4"/>
  <c r="AA68" i="4" s="1"/>
  <c r="R69" i="4"/>
  <c r="AA69" i="4" s="1"/>
  <c r="R70" i="4"/>
  <c r="AA70" i="4" s="1"/>
  <c r="R71" i="4"/>
  <c r="AA71" i="4" s="1"/>
  <c r="R72" i="4"/>
  <c r="AA72" i="4" s="1"/>
  <c r="R73" i="4"/>
  <c r="AA73" i="4" s="1"/>
  <c r="R74" i="4"/>
  <c r="AA74" i="4" s="1"/>
  <c r="R75" i="4"/>
  <c r="AA75" i="4" s="1"/>
  <c r="R76" i="4"/>
  <c r="AA76" i="4" s="1"/>
  <c r="R77" i="4"/>
  <c r="AA77" i="4" s="1"/>
  <c r="R78" i="4"/>
  <c r="AA78" i="4" s="1"/>
  <c r="R79" i="4"/>
  <c r="AA79" i="4" s="1"/>
  <c r="R80" i="4"/>
  <c r="AA80" i="4" s="1"/>
  <c r="R81" i="4"/>
  <c r="AA81" i="4" s="1"/>
  <c r="R82" i="4"/>
  <c r="AA82" i="4" s="1"/>
  <c r="R83" i="4"/>
  <c r="AA83" i="4" s="1"/>
  <c r="R84" i="4"/>
  <c r="AA84" i="4" s="1"/>
  <c r="R85" i="4"/>
  <c r="AA85" i="4" s="1"/>
  <c r="R86" i="4"/>
  <c r="AA86" i="4" s="1"/>
  <c r="R87" i="4"/>
  <c r="AA87" i="4" s="1"/>
  <c r="R88" i="4"/>
  <c r="AA88" i="4" s="1"/>
  <c r="R89" i="4"/>
  <c r="AA89" i="4" s="1"/>
  <c r="R90" i="4"/>
  <c r="AA90" i="4" s="1"/>
  <c r="R91" i="4"/>
  <c r="AA91" i="4" s="1"/>
  <c r="R92" i="4"/>
  <c r="AA92" i="4" s="1"/>
  <c r="R93" i="4"/>
  <c r="AA93" i="4" s="1"/>
  <c r="R94" i="4"/>
  <c r="AA94" i="4" s="1"/>
  <c r="R95" i="4"/>
  <c r="AA95" i="4" s="1"/>
  <c r="R96" i="4"/>
  <c r="AA96" i="4" s="1"/>
  <c r="R97" i="4"/>
  <c r="AA97" i="4" s="1"/>
  <c r="R98" i="4"/>
  <c r="AA98" i="4" s="1"/>
  <c r="R99" i="4"/>
  <c r="AA99" i="4" s="1"/>
  <c r="R100" i="4"/>
  <c r="AA100" i="4" s="1"/>
  <c r="R101" i="4"/>
  <c r="AA101" i="4" s="1"/>
  <c r="R102" i="4"/>
  <c r="AA102" i="4" s="1"/>
  <c r="R103" i="4"/>
  <c r="AA103" i="4" s="1"/>
  <c r="R104" i="4"/>
  <c r="AA104" i="4" s="1"/>
  <c r="R105" i="4"/>
  <c r="AA105" i="4" s="1"/>
  <c r="R106" i="4"/>
  <c r="AA106" i="4" s="1"/>
  <c r="R107" i="4"/>
  <c r="AA107" i="4" s="1"/>
  <c r="R108" i="4"/>
  <c r="AA108" i="4" s="1"/>
  <c r="R3" i="4"/>
  <c r="AA3" i="4" s="1"/>
  <c r="AA109" i="4" s="1"/>
  <c r="I111" i="4" s="1"/>
  <c r="Q4" i="4"/>
  <c r="Z4" i="4" s="1"/>
  <c r="Q5" i="4"/>
  <c r="Z5" i="4" s="1"/>
  <c r="Q6" i="4"/>
  <c r="Z6" i="4" s="1"/>
  <c r="Q7" i="4"/>
  <c r="Z7" i="4" s="1"/>
  <c r="Q8" i="4"/>
  <c r="Z8" i="4" s="1"/>
  <c r="Q9" i="4"/>
  <c r="Z9" i="4" s="1"/>
  <c r="Q10" i="4"/>
  <c r="Z10" i="4" s="1"/>
  <c r="Q11" i="4"/>
  <c r="Z11" i="4" s="1"/>
  <c r="Q12" i="4"/>
  <c r="Z12" i="4" s="1"/>
  <c r="Q13" i="4"/>
  <c r="Z13" i="4" s="1"/>
  <c r="Q14" i="4"/>
  <c r="Z14" i="4" s="1"/>
  <c r="Q15" i="4"/>
  <c r="Z15" i="4" s="1"/>
  <c r="Q16" i="4"/>
  <c r="Z16" i="4" s="1"/>
  <c r="Q17" i="4"/>
  <c r="Z17" i="4" s="1"/>
  <c r="Q18" i="4"/>
  <c r="Z18" i="4" s="1"/>
  <c r="Q19" i="4"/>
  <c r="Z19" i="4" s="1"/>
  <c r="Q20" i="4"/>
  <c r="Z20" i="4" s="1"/>
  <c r="Q21" i="4"/>
  <c r="Z21" i="4" s="1"/>
  <c r="Q22" i="4"/>
  <c r="Z22" i="4" s="1"/>
  <c r="Q23" i="4"/>
  <c r="Z23" i="4" s="1"/>
  <c r="Q24" i="4"/>
  <c r="Z24" i="4" s="1"/>
  <c r="Q25" i="4"/>
  <c r="Z25" i="4" s="1"/>
  <c r="Q26" i="4"/>
  <c r="Z26" i="4" s="1"/>
  <c r="Q27" i="4"/>
  <c r="Z27" i="4" s="1"/>
  <c r="Q28" i="4"/>
  <c r="Z28" i="4" s="1"/>
  <c r="Q29" i="4"/>
  <c r="Z29" i="4" s="1"/>
  <c r="Q30" i="4"/>
  <c r="Z30" i="4" s="1"/>
  <c r="Q31" i="4"/>
  <c r="Z31" i="4" s="1"/>
  <c r="Q32" i="4"/>
  <c r="Z32" i="4" s="1"/>
  <c r="Q33" i="4"/>
  <c r="Z33" i="4" s="1"/>
  <c r="Q34" i="4"/>
  <c r="Z34" i="4" s="1"/>
  <c r="Q35" i="4"/>
  <c r="Z35" i="4" s="1"/>
  <c r="Q36" i="4"/>
  <c r="Z36" i="4" s="1"/>
  <c r="Q37" i="4"/>
  <c r="Z37" i="4" s="1"/>
  <c r="Q38" i="4"/>
  <c r="Z38" i="4" s="1"/>
  <c r="Q39" i="4"/>
  <c r="Z39" i="4" s="1"/>
  <c r="Q40" i="4"/>
  <c r="Z40" i="4" s="1"/>
  <c r="Q41" i="4"/>
  <c r="Z41" i="4" s="1"/>
  <c r="Q42" i="4"/>
  <c r="Z42" i="4" s="1"/>
  <c r="Q43" i="4"/>
  <c r="Z43" i="4" s="1"/>
  <c r="Q44" i="4"/>
  <c r="Z44" i="4" s="1"/>
  <c r="Q45" i="4"/>
  <c r="Z45" i="4" s="1"/>
  <c r="Q46" i="4"/>
  <c r="Z46" i="4" s="1"/>
  <c r="Q47" i="4"/>
  <c r="Z47" i="4" s="1"/>
  <c r="Q48" i="4"/>
  <c r="Z48" i="4" s="1"/>
  <c r="Q49" i="4"/>
  <c r="Z49" i="4" s="1"/>
  <c r="Q50" i="4"/>
  <c r="Z50" i="4" s="1"/>
  <c r="Q51" i="4"/>
  <c r="Z51" i="4" s="1"/>
  <c r="Q52" i="4"/>
  <c r="Z52" i="4" s="1"/>
  <c r="Q53" i="4"/>
  <c r="Z53" i="4" s="1"/>
  <c r="Q54" i="4"/>
  <c r="Z54" i="4" s="1"/>
  <c r="Q55" i="4"/>
  <c r="Z55" i="4" s="1"/>
  <c r="Q56" i="4"/>
  <c r="Z56" i="4" s="1"/>
  <c r="Q57" i="4"/>
  <c r="Z57" i="4" s="1"/>
  <c r="Q58" i="4"/>
  <c r="Z58" i="4" s="1"/>
  <c r="Q59" i="4"/>
  <c r="Z59" i="4" s="1"/>
  <c r="Q60" i="4"/>
  <c r="Z60" i="4" s="1"/>
  <c r="Q61" i="4"/>
  <c r="Z61" i="4" s="1"/>
  <c r="Q62" i="4"/>
  <c r="Z62" i="4" s="1"/>
  <c r="Q63" i="4"/>
  <c r="Z63" i="4" s="1"/>
  <c r="Q64" i="4"/>
  <c r="Z64" i="4" s="1"/>
  <c r="Q65" i="4"/>
  <c r="Z65" i="4" s="1"/>
  <c r="Q66" i="4"/>
  <c r="Z66" i="4" s="1"/>
  <c r="Q67" i="4"/>
  <c r="Z67" i="4" s="1"/>
  <c r="Q68" i="4"/>
  <c r="Z68" i="4" s="1"/>
  <c r="Q69" i="4"/>
  <c r="Z69" i="4" s="1"/>
  <c r="Q70" i="4"/>
  <c r="Z70" i="4" s="1"/>
  <c r="Q71" i="4"/>
  <c r="Z71" i="4" s="1"/>
  <c r="Q72" i="4"/>
  <c r="Z72" i="4" s="1"/>
  <c r="Q73" i="4"/>
  <c r="Z73" i="4" s="1"/>
  <c r="Q74" i="4"/>
  <c r="Z74" i="4" s="1"/>
  <c r="Q75" i="4"/>
  <c r="Z75" i="4" s="1"/>
  <c r="Q76" i="4"/>
  <c r="Z76" i="4" s="1"/>
  <c r="Q77" i="4"/>
  <c r="Z77" i="4" s="1"/>
  <c r="Q78" i="4"/>
  <c r="Z78" i="4" s="1"/>
  <c r="Q79" i="4"/>
  <c r="Z79" i="4" s="1"/>
  <c r="Q80" i="4"/>
  <c r="Z80" i="4" s="1"/>
  <c r="Q81" i="4"/>
  <c r="Z81" i="4" s="1"/>
  <c r="Q82" i="4"/>
  <c r="Z82" i="4" s="1"/>
  <c r="Q83" i="4"/>
  <c r="Z83" i="4" s="1"/>
  <c r="Q84" i="4"/>
  <c r="Z84" i="4" s="1"/>
  <c r="Q85" i="4"/>
  <c r="Z85" i="4" s="1"/>
  <c r="Q86" i="4"/>
  <c r="Z86" i="4" s="1"/>
  <c r="Q87" i="4"/>
  <c r="Z87" i="4" s="1"/>
  <c r="Q88" i="4"/>
  <c r="Z88" i="4" s="1"/>
  <c r="Q89" i="4"/>
  <c r="Z89" i="4" s="1"/>
  <c r="Q90" i="4"/>
  <c r="Z90" i="4" s="1"/>
  <c r="Q91" i="4"/>
  <c r="Z91" i="4" s="1"/>
  <c r="Q92" i="4"/>
  <c r="Z92" i="4" s="1"/>
  <c r="Q93" i="4"/>
  <c r="Z93" i="4" s="1"/>
  <c r="Q94" i="4"/>
  <c r="Z94" i="4" s="1"/>
  <c r="Q95" i="4"/>
  <c r="Z95" i="4" s="1"/>
  <c r="Q96" i="4"/>
  <c r="Z96" i="4" s="1"/>
  <c r="Q97" i="4"/>
  <c r="Z97" i="4" s="1"/>
  <c r="Q98" i="4"/>
  <c r="Z98" i="4" s="1"/>
  <c r="Q99" i="4"/>
  <c r="Z99" i="4" s="1"/>
  <c r="Q100" i="4"/>
  <c r="Z100" i="4" s="1"/>
  <c r="Q101" i="4"/>
  <c r="Z101" i="4" s="1"/>
  <c r="Q102" i="4"/>
  <c r="Z102" i="4" s="1"/>
  <c r="Q103" i="4"/>
  <c r="Z103" i="4" s="1"/>
  <c r="Q104" i="4"/>
  <c r="Z104" i="4" s="1"/>
  <c r="Q105" i="4"/>
  <c r="Z105" i="4" s="1"/>
  <c r="Q106" i="4"/>
  <c r="Z106" i="4" s="1"/>
  <c r="Q107" i="4"/>
  <c r="Z107" i="4" s="1"/>
  <c r="Q108" i="4"/>
  <c r="Z108" i="4" s="1"/>
  <c r="Q3" i="4"/>
  <c r="Z3" i="4" s="1"/>
  <c r="Z109" i="4" s="1"/>
  <c r="H111" i="4" s="1"/>
  <c r="P4" i="4"/>
  <c r="Y4" i="4" s="1"/>
  <c r="P5" i="4"/>
  <c r="Y5" i="4" s="1"/>
  <c r="P6" i="4"/>
  <c r="Y6" i="4" s="1"/>
  <c r="P7" i="4"/>
  <c r="Y7" i="4" s="1"/>
  <c r="P8" i="4"/>
  <c r="Y8" i="4" s="1"/>
  <c r="P9" i="4"/>
  <c r="Y9" i="4" s="1"/>
  <c r="P10" i="4"/>
  <c r="Y10" i="4" s="1"/>
  <c r="P11" i="4"/>
  <c r="Y11" i="4" s="1"/>
  <c r="P12" i="4"/>
  <c r="Y12" i="4" s="1"/>
  <c r="P13" i="4"/>
  <c r="Y13" i="4" s="1"/>
  <c r="P14" i="4"/>
  <c r="Y14" i="4" s="1"/>
  <c r="P15" i="4"/>
  <c r="Y15" i="4" s="1"/>
  <c r="P16" i="4"/>
  <c r="Y16" i="4" s="1"/>
  <c r="P17" i="4"/>
  <c r="Y17" i="4" s="1"/>
  <c r="P18" i="4"/>
  <c r="Y18" i="4" s="1"/>
  <c r="P19" i="4"/>
  <c r="Y19" i="4" s="1"/>
  <c r="P20" i="4"/>
  <c r="Y20" i="4" s="1"/>
  <c r="P21" i="4"/>
  <c r="Y21" i="4" s="1"/>
  <c r="P22" i="4"/>
  <c r="Y22" i="4" s="1"/>
  <c r="P23" i="4"/>
  <c r="Y23" i="4" s="1"/>
  <c r="P24" i="4"/>
  <c r="Y24" i="4" s="1"/>
  <c r="P25" i="4"/>
  <c r="Y25" i="4" s="1"/>
  <c r="P26" i="4"/>
  <c r="Y26" i="4" s="1"/>
  <c r="P27" i="4"/>
  <c r="Y27" i="4" s="1"/>
  <c r="P28" i="4"/>
  <c r="Y28" i="4" s="1"/>
  <c r="P29" i="4"/>
  <c r="Y29" i="4" s="1"/>
  <c r="P30" i="4"/>
  <c r="Y30" i="4" s="1"/>
  <c r="P31" i="4"/>
  <c r="Y31" i="4" s="1"/>
  <c r="P32" i="4"/>
  <c r="Y32" i="4" s="1"/>
  <c r="P33" i="4"/>
  <c r="Y33" i="4" s="1"/>
  <c r="P34" i="4"/>
  <c r="Y34" i="4" s="1"/>
  <c r="P35" i="4"/>
  <c r="Y35" i="4" s="1"/>
  <c r="P36" i="4"/>
  <c r="Y36" i="4" s="1"/>
  <c r="P37" i="4"/>
  <c r="Y37" i="4" s="1"/>
  <c r="P38" i="4"/>
  <c r="Y38" i="4" s="1"/>
  <c r="P39" i="4"/>
  <c r="Y39" i="4" s="1"/>
  <c r="P40" i="4"/>
  <c r="Y40" i="4" s="1"/>
  <c r="P41" i="4"/>
  <c r="Y41" i="4" s="1"/>
  <c r="P42" i="4"/>
  <c r="Y42" i="4" s="1"/>
  <c r="P43" i="4"/>
  <c r="Y43" i="4" s="1"/>
  <c r="P44" i="4"/>
  <c r="Y44" i="4" s="1"/>
  <c r="P45" i="4"/>
  <c r="Y45" i="4" s="1"/>
  <c r="P46" i="4"/>
  <c r="Y46" i="4" s="1"/>
  <c r="P47" i="4"/>
  <c r="Y47" i="4" s="1"/>
  <c r="P48" i="4"/>
  <c r="Y48" i="4" s="1"/>
  <c r="P49" i="4"/>
  <c r="Y49" i="4" s="1"/>
  <c r="P50" i="4"/>
  <c r="Y50" i="4" s="1"/>
  <c r="P51" i="4"/>
  <c r="Y51" i="4" s="1"/>
  <c r="P52" i="4"/>
  <c r="Y52" i="4" s="1"/>
  <c r="P53" i="4"/>
  <c r="Y53" i="4" s="1"/>
  <c r="P54" i="4"/>
  <c r="Y54" i="4" s="1"/>
  <c r="P55" i="4"/>
  <c r="Y55" i="4" s="1"/>
  <c r="P56" i="4"/>
  <c r="Y56" i="4" s="1"/>
  <c r="P57" i="4"/>
  <c r="Y57" i="4" s="1"/>
  <c r="P58" i="4"/>
  <c r="Y58" i="4" s="1"/>
  <c r="P59" i="4"/>
  <c r="Y59" i="4" s="1"/>
  <c r="P60" i="4"/>
  <c r="Y60" i="4" s="1"/>
  <c r="P61" i="4"/>
  <c r="Y61" i="4" s="1"/>
  <c r="P62" i="4"/>
  <c r="Y62" i="4" s="1"/>
  <c r="P63" i="4"/>
  <c r="Y63" i="4" s="1"/>
  <c r="P64" i="4"/>
  <c r="Y64" i="4" s="1"/>
  <c r="P65" i="4"/>
  <c r="Y65" i="4" s="1"/>
  <c r="P66" i="4"/>
  <c r="Y66" i="4" s="1"/>
  <c r="P67" i="4"/>
  <c r="Y67" i="4" s="1"/>
  <c r="P68" i="4"/>
  <c r="Y68" i="4" s="1"/>
  <c r="P69" i="4"/>
  <c r="Y69" i="4" s="1"/>
  <c r="P70" i="4"/>
  <c r="Y70" i="4" s="1"/>
  <c r="P71" i="4"/>
  <c r="Y71" i="4" s="1"/>
  <c r="P72" i="4"/>
  <c r="Y72" i="4" s="1"/>
  <c r="P73" i="4"/>
  <c r="Y73" i="4" s="1"/>
  <c r="P74" i="4"/>
  <c r="Y74" i="4" s="1"/>
  <c r="P75" i="4"/>
  <c r="Y75" i="4" s="1"/>
  <c r="P76" i="4"/>
  <c r="Y76" i="4" s="1"/>
  <c r="P77" i="4"/>
  <c r="Y77" i="4" s="1"/>
  <c r="P78" i="4"/>
  <c r="Y78" i="4" s="1"/>
  <c r="P79" i="4"/>
  <c r="Y79" i="4" s="1"/>
  <c r="P80" i="4"/>
  <c r="Y80" i="4" s="1"/>
  <c r="P81" i="4"/>
  <c r="Y81" i="4" s="1"/>
  <c r="P82" i="4"/>
  <c r="Y82" i="4" s="1"/>
  <c r="P83" i="4"/>
  <c r="Y83" i="4" s="1"/>
  <c r="P84" i="4"/>
  <c r="Y84" i="4" s="1"/>
  <c r="P85" i="4"/>
  <c r="Y85" i="4" s="1"/>
  <c r="P86" i="4"/>
  <c r="Y86" i="4" s="1"/>
  <c r="P87" i="4"/>
  <c r="Y87" i="4" s="1"/>
  <c r="P88" i="4"/>
  <c r="Y88" i="4" s="1"/>
  <c r="P89" i="4"/>
  <c r="Y89" i="4" s="1"/>
  <c r="P90" i="4"/>
  <c r="Y90" i="4" s="1"/>
  <c r="P91" i="4"/>
  <c r="Y91" i="4" s="1"/>
  <c r="P92" i="4"/>
  <c r="Y92" i="4" s="1"/>
  <c r="P93" i="4"/>
  <c r="Y93" i="4" s="1"/>
  <c r="P94" i="4"/>
  <c r="Y94" i="4" s="1"/>
  <c r="P95" i="4"/>
  <c r="Y95" i="4" s="1"/>
  <c r="P96" i="4"/>
  <c r="Y96" i="4" s="1"/>
  <c r="P97" i="4"/>
  <c r="Y97" i="4" s="1"/>
  <c r="P98" i="4"/>
  <c r="Y98" i="4" s="1"/>
  <c r="P99" i="4"/>
  <c r="Y99" i="4" s="1"/>
  <c r="P100" i="4"/>
  <c r="Y100" i="4" s="1"/>
  <c r="P101" i="4"/>
  <c r="Y101" i="4" s="1"/>
  <c r="P102" i="4"/>
  <c r="Y102" i="4" s="1"/>
  <c r="P103" i="4"/>
  <c r="Y103" i="4" s="1"/>
  <c r="P104" i="4"/>
  <c r="Y104" i="4" s="1"/>
  <c r="P105" i="4"/>
  <c r="Y105" i="4" s="1"/>
  <c r="P106" i="4"/>
  <c r="Y106" i="4" s="1"/>
  <c r="P107" i="4"/>
  <c r="Y107" i="4" s="1"/>
  <c r="P108" i="4"/>
  <c r="Y108" i="4" s="1"/>
  <c r="P3" i="4"/>
  <c r="Y3" i="4" s="1"/>
  <c r="Y109" i="4" s="1"/>
  <c r="G111" i="4" s="1"/>
  <c r="N4" i="4"/>
  <c r="W4" i="4" s="1"/>
  <c r="N5" i="4"/>
  <c r="W5" i="4" s="1"/>
  <c r="N6" i="4"/>
  <c r="W6" i="4" s="1"/>
  <c r="N7" i="4"/>
  <c r="W7" i="4" s="1"/>
  <c r="N8" i="4"/>
  <c r="W8" i="4" s="1"/>
  <c r="N9" i="4"/>
  <c r="W9" i="4" s="1"/>
  <c r="N10" i="4"/>
  <c r="W10" i="4" s="1"/>
  <c r="N11" i="4"/>
  <c r="W11" i="4" s="1"/>
  <c r="N12" i="4"/>
  <c r="W12" i="4" s="1"/>
  <c r="N13" i="4"/>
  <c r="W13" i="4" s="1"/>
  <c r="N14" i="4"/>
  <c r="W14" i="4" s="1"/>
  <c r="N15" i="4"/>
  <c r="W15" i="4" s="1"/>
  <c r="N16" i="4"/>
  <c r="W16" i="4" s="1"/>
  <c r="N17" i="4"/>
  <c r="W17" i="4" s="1"/>
  <c r="N18" i="4"/>
  <c r="W18" i="4" s="1"/>
  <c r="N19" i="4"/>
  <c r="W19" i="4" s="1"/>
  <c r="N20" i="4"/>
  <c r="W20" i="4" s="1"/>
  <c r="N21" i="4"/>
  <c r="W21" i="4" s="1"/>
  <c r="N22" i="4"/>
  <c r="W22" i="4" s="1"/>
  <c r="N23" i="4"/>
  <c r="W23" i="4" s="1"/>
  <c r="N24" i="4"/>
  <c r="W24" i="4" s="1"/>
  <c r="N25" i="4"/>
  <c r="W25" i="4" s="1"/>
  <c r="N26" i="4"/>
  <c r="W26" i="4" s="1"/>
  <c r="N27" i="4"/>
  <c r="W27" i="4" s="1"/>
  <c r="N28" i="4"/>
  <c r="W28" i="4" s="1"/>
  <c r="N29" i="4"/>
  <c r="W29" i="4" s="1"/>
  <c r="N30" i="4"/>
  <c r="W30" i="4" s="1"/>
  <c r="N31" i="4"/>
  <c r="W31" i="4" s="1"/>
  <c r="N32" i="4"/>
  <c r="W32" i="4" s="1"/>
  <c r="N33" i="4"/>
  <c r="W33" i="4" s="1"/>
  <c r="N34" i="4"/>
  <c r="W34" i="4" s="1"/>
  <c r="N35" i="4"/>
  <c r="W35" i="4" s="1"/>
  <c r="N36" i="4"/>
  <c r="W36" i="4" s="1"/>
  <c r="N37" i="4"/>
  <c r="W37" i="4" s="1"/>
  <c r="N38" i="4"/>
  <c r="W38" i="4" s="1"/>
  <c r="N39" i="4"/>
  <c r="W39" i="4" s="1"/>
  <c r="N40" i="4"/>
  <c r="W40" i="4" s="1"/>
  <c r="N41" i="4"/>
  <c r="W41" i="4" s="1"/>
  <c r="N42" i="4"/>
  <c r="W42" i="4" s="1"/>
  <c r="N43" i="4"/>
  <c r="W43" i="4" s="1"/>
  <c r="N44" i="4"/>
  <c r="W44" i="4" s="1"/>
  <c r="N45" i="4"/>
  <c r="W45" i="4" s="1"/>
  <c r="N46" i="4"/>
  <c r="W46" i="4" s="1"/>
  <c r="N47" i="4"/>
  <c r="W47" i="4" s="1"/>
  <c r="N48" i="4"/>
  <c r="W48" i="4" s="1"/>
  <c r="N49" i="4"/>
  <c r="W49" i="4" s="1"/>
  <c r="N50" i="4"/>
  <c r="W50" i="4" s="1"/>
  <c r="N51" i="4"/>
  <c r="W51" i="4" s="1"/>
  <c r="N52" i="4"/>
  <c r="W52" i="4" s="1"/>
  <c r="N53" i="4"/>
  <c r="W53" i="4" s="1"/>
  <c r="N54" i="4"/>
  <c r="W54" i="4" s="1"/>
  <c r="N55" i="4"/>
  <c r="W55" i="4" s="1"/>
  <c r="N56" i="4"/>
  <c r="W56" i="4" s="1"/>
  <c r="N57" i="4"/>
  <c r="W57" i="4" s="1"/>
  <c r="N58" i="4"/>
  <c r="W58" i="4" s="1"/>
  <c r="N59" i="4"/>
  <c r="W59" i="4" s="1"/>
  <c r="N60" i="4"/>
  <c r="W60" i="4" s="1"/>
  <c r="N61" i="4"/>
  <c r="W61" i="4" s="1"/>
  <c r="N62" i="4"/>
  <c r="W62" i="4" s="1"/>
  <c r="N63" i="4"/>
  <c r="W63" i="4" s="1"/>
  <c r="N64" i="4"/>
  <c r="W64" i="4" s="1"/>
  <c r="N65" i="4"/>
  <c r="W65" i="4" s="1"/>
  <c r="N66" i="4"/>
  <c r="W66" i="4" s="1"/>
  <c r="N67" i="4"/>
  <c r="W67" i="4" s="1"/>
  <c r="N68" i="4"/>
  <c r="W68" i="4" s="1"/>
  <c r="N69" i="4"/>
  <c r="W69" i="4" s="1"/>
  <c r="N70" i="4"/>
  <c r="W70" i="4" s="1"/>
  <c r="N71" i="4"/>
  <c r="W71" i="4" s="1"/>
  <c r="N72" i="4"/>
  <c r="W72" i="4" s="1"/>
  <c r="N73" i="4"/>
  <c r="W73" i="4" s="1"/>
  <c r="N74" i="4"/>
  <c r="W74" i="4" s="1"/>
  <c r="N75" i="4"/>
  <c r="W75" i="4" s="1"/>
  <c r="N76" i="4"/>
  <c r="W76" i="4" s="1"/>
  <c r="N77" i="4"/>
  <c r="W77" i="4" s="1"/>
  <c r="N78" i="4"/>
  <c r="W78" i="4" s="1"/>
  <c r="N79" i="4"/>
  <c r="W79" i="4" s="1"/>
  <c r="N80" i="4"/>
  <c r="W80" i="4" s="1"/>
  <c r="N81" i="4"/>
  <c r="W81" i="4" s="1"/>
  <c r="N82" i="4"/>
  <c r="W82" i="4" s="1"/>
  <c r="N83" i="4"/>
  <c r="W83" i="4" s="1"/>
  <c r="N84" i="4"/>
  <c r="W84" i="4" s="1"/>
  <c r="N85" i="4"/>
  <c r="W85" i="4" s="1"/>
  <c r="N86" i="4"/>
  <c r="W86" i="4" s="1"/>
  <c r="N87" i="4"/>
  <c r="W87" i="4" s="1"/>
  <c r="N88" i="4"/>
  <c r="W88" i="4" s="1"/>
  <c r="N89" i="4"/>
  <c r="W89" i="4" s="1"/>
  <c r="N90" i="4"/>
  <c r="W90" i="4" s="1"/>
  <c r="N91" i="4"/>
  <c r="W91" i="4" s="1"/>
  <c r="N92" i="4"/>
  <c r="W92" i="4" s="1"/>
  <c r="N93" i="4"/>
  <c r="W93" i="4" s="1"/>
  <c r="N94" i="4"/>
  <c r="W94" i="4" s="1"/>
  <c r="N95" i="4"/>
  <c r="W95" i="4" s="1"/>
  <c r="N96" i="4"/>
  <c r="W96" i="4" s="1"/>
  <c r="N97" i="4"/>
  <c r="W97" i="4" s="1"/>
  <c r="N98" i="4"/>
  <c r="W98" i="4" s="1"/>
  <c r="N99" i="4"/>
  <c r="W99" i="4" s="1"/>
  <c r="N100" i="4"/>
  <c r="W100" i="4" s="1"/>
  <c r="N101" i="4"/>
  <c r="W101" i="4" s="1"/>
  <c r="N102" i="4"/>
  <c r="W102" i="4" s="1"/>
  <c r="N103" i="4"/>
  <c r="W103" i="4" s="1"/>
  <c r="N104" i="4"/>
  <c r="W104" i="4" s="1"/>
  <c r="N105" i="4"/>
  <c r="W105" i="4" s="1"/>
  <c r="N106" i="4"/>
  <c r="W106" i="4" s="1"/>
  <c r="N107" i="4"/>
  <c r="W107" i="4" s="1"/>
  <c r="N108" i="4"/>
  <c r="W108" i="4" s="1"/>
  <c r="N3" i="4"/>
  <c r="W3" i="4" s="1"/>
  <c r="W109" i="4" s="1"/>
  <c r="E111" i="4" s="1"/>
  <c r="E108" i="1"/>
  <c r="S3" i="4" l="1"/>
  <c r="AB3" i="4" s="1"/>
  <c r="AB109" i="4" s="1"/>
  <c r="J111" i="4" s="1"/>
  <c r="X109" i="4"/>
  <c r="F111" i="4" s="1"/>
  <c r="V109" i="4"/>
  <c r="D111" i="4" s="1"/>
  <c r="B112" i="4" s="1"/>
  <c r="K109" i="2"/>
  <c r="S3" i="2"/>
  <c r="S109" i="2" s="1"/>
  <c r="C111" i="2" s="1"/>
  <c r="Y109" i="2"/>
  <c r="I111" i="2" s="1"/>
  <c r="P3" i="2"/>
  <c r="X3" i="2" s="1"/>
  <c r="X109" i="2" s="1"/>
  <c r="H111" i="2" s="1"/>
  <c r="U109" i="2"/>
  <c r="E111" i="2" s="1"/>
  <c r="B112" i="2" l="1"/>
  <c r="E89" i="1"/>
  <c r="G89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</calcChain>
</file>

<file path=xl/sharedStrings.xml><?xml version="1.0" encoding="utf-8"?>
<sst xmlns="http://schemas.openxmlformats.org/spreadsheetml/2006/main" count="290" uniqueCount="161">
  <si>
    <t>Pays</t>
  </si>
  <si>
    <t>Taux de fécondité</t>
  </si>
  <si>
    <t>PIB/habitant</t>
  </si>
  <si>
    <t>Taux d'irrélegieux</t>
  </si>
  <si>
    <t>Mortalité infantile</t>
  </si>
  <si>
    <t>Consommation (en $PPA)</t>
  </si>
  <si>
    <t>Taux d'enfants non scolarisé</t>
  </si>
  <si>
    <t>Taux de chômage</t>
  </si>
  <si>
    <t>Pourcentage de femme dans la population active</t>
  </si>
  <si>
    <t>Nombre de lit d'hopitaux pour 1000 habitant</t>
  </si>
  <si>
    <t>IVG(0 à 6)</t>
  </si>
  <si>
    <t xml:space="preserve">Population </t>
  </si>
  <si>
    <t>Irreligieux</t>
  </si>
  <si>
    <t>Conso (en millions)</t>
  </si>
  <si>
    <t>Afrique du Sud</t>
  </si>
  <si>
    <t>Albanie</t>
  </si>
  <si>
    <t>Algérie</t>
  </si>
  <si>
    <t>Allemagne</t>
  </si>
  <si>
    <t>Arabie Saoudite</t>
  </si>
  <si>
    <t>Arménie</t>
  </si>
  <si>
    <t>Australie</t>
  </si>
  <si>
    <t>Autriche</t>
  </si>
  <si>
    <t>Azerbaïdjan</t>
  </si>
  <si>
    <t>Bahreïn</t>
  </si>
  <si>
    <t>Belgique</t>
  </si>
  <si>
    <t>Belize</t>
  </si>
  <si>
    <t>Bénin</t>
  </si>
  <si>
    <t>Bhoutan</t>
  </si>
  <si>
    <t>Bolivie</t>
  </si>
  <si>
    <t>Brésil</t>
  </si>
  <si>
    <t>Brunei</t>
  </si>
  <si>
    <t>Bulgarie</t>
  </si>
  <si>
    <t>Burundi</t>
  </si>
  <si>
    <t>Cabo Verde</t>
  </si>
  <si>
    <t>Cambodge</t>
  </si>
  <si>
    <t>Cameroune</t>
  </si>
  <si>
    <t>Canada</t>
  </si>
  <si>
    <t>Chili</t>
  </si>
  <si>
    <t>Chypre</t>
  </si>
  <si>
    <t>Colombie</t>
  </si>
  <si>
    <t>Corée du Sud</t>
  </si>
  <si>
    <t>Costa Rica</t>
  </si>
  <si>
    <t>Côte d'Ivoire</t>
  </si>
  <si>
    <t>Croatie</t>
  </si>
  <si>
    <t>Danemark</t>
  </si>
  <si>
    <t>Djibouti</t>
  </si>
  <si>
    <t>Egypte</t>
  </si>
  <si>
    <t>Emirats Arabes Unis</t>
  </si>
  <si>
    <t>Equateur</t>
  </si>
  <si>
    <t>Espagne</t>
  </si>
  <si>
    <t>Estonie</t>
  </si>
  <si>
    <t>Etats-Unis</t>
  </si>
  <si>
    <t>Ethiopie</t>
  </si>
  <si>
    <t>Fidji</t>
  </si>
  <si>
    <t>Finlande</t>
  </si>
  <si>
    <t>France</t>
  </si>
  <si>
    <t>Gabon</t>
  </si>
  <si>
    <t>Gambie</t>
  </si>
  <si>
    <t>Géorgie</t>
  </si>
  <si>
    <t>Ghana</t>
  </si>
  <si>
    <t>Grèce</t>
  </si>
  <si>
    <t>Guatemala</t>
  </si>
  <si>
    <t>Guinée</t>
  </si>
  <si>
    <t>Hongrie</t>
  </si>
  <si>
    <t>Inde</t>
  </si>
  <si>
    <t>Iran</t>
  </si>
  <si>
    <t>Irlande</t>
  </si>
  <si>
    <t>Islande</t>
  </si>
  <si>
    <t>Israël</t>
  </si>
  <si>
    <t>Italie</t>
  </si>
  <si>
    <t>Jamaïque</t>
  </si>
  <si>
    <t>Japon</t>
  </si>
  <si>
    <t>Jordanie</t>
  </si>
  <si>
    <t>Kazakhstan</t>
  </si>
  <si>
    <t>Lesotho</t>
  </si>
  <si>
    <t>Lettonie</t>
  </si>
  <si>
    <t>Littuanie</t>
  </si>
  <si>
    <t>Luxembourg</t>
  </si>
  <si>
    <t>Macédoine</t>
  </si>
  <si>
    <t>Madagascar</t>
  </si>
  <si>
    <t>Malaisie</t>
  </si>
  <si>
    <t>Maldives</t>
  </si>
  <si>
    <t>Maroc</t>
  </si>
  <si>
    <t>Maurice</t>
  </si>
  <si>
    <t>Mauritanie</t>
  </si>
  <si>
    <t>Mexique</t>
  </si>
  <si>
    <t>Moldavie</t>
  </si>
  <si>
    <t>Mongolie</t>
  </si>
  <si>
    <t>Monténégro</t>
  </si>
  <si>
    <t>Mozambique</t>
  </si>
  <si>
    <t>Namibie</t>
  </si>
  <si>
    <t>Niger</t>
  </si>
  <si>
    <t>Norvège</t>
  </si>
  <si>
    <t>Nouvelle-Zélande</t>
  </si>
  <si>
    <t>Oman</t>
  </si>
  <si>
    <t>Ouzbékistan</t>
  </si>
  <si>
    <t>Panama</t>
  </si>
  <si>
    <t>Pays-Bas</t>
  </si>
  <si>
    <t>Philipines</t>
  </si>
  <si>
    <t>Pologne</t>
  </si>
  <si>
    <t>Portugal</t>
  </si>
  <si>
    <t>Qatar</t>
  </si>
  <si>
    <t>République Dominicaine</t>
  </si>
  <si>
    <t>République Tchèque</t>
  </si>
  <si>
    <t>Roumanie</t>
  </si>
  <si>
    <t>Royaume-Uni</t>
  </si>
  <si>
    <t>Russie</t>
  </si>
  <si>
    <t>Rwanda</t>
  </si>
  <si>
    <t>Sénégal</t>
  </si>
  <si>
    <t>Serbie</t>
  </si>
  <si>
    <t>Singapour</t>
  </si>
  <si>
    <t>Slovaquie</t>
  </si>
  <si>
    <t>Slovénie</t>
  </si>
  <si>
    <t>Suède</t>
  </si>
  <si>
    <t>Suisse</t>
  </si>
  <si>
    <t>Tanzanie</t>
  </si>
  <si>
    <t>Tchad</t>
  </si>
  <si>
    <t>Thaïlande</t>
  </si>
  <si>
    <t>Togo</t>
  </si>
  <si>
    <t>Tonga</t>
  </si>
  <si>
    <t>Turquie</t>
  </si>
  <si>
    <t>Y</t>
  </si>
  <si>
    <t>X2</t>
  </si>
  <si>
    <t>X6</t>
  </si>
  <si>
    <t>X7</t>
  </si>
  <si>
    <t>X8</t>
  </si>
  <si>
    <t>X9</t>
  </si>
  <si>
    <t>D1</t>
  </si>
  <si>
    <t>X3</t>
  </si>
  <si>
    <t>X2i</t>
  </si>
  <si>
    <t>X6i</t>
  </si>
  <si>
    <t>X7i</t>
  </si>
  <si>
    <t>X8i</t>
  </si>
  <si>
    <t>X9i</t>
  </si>
  <si>
    <t>D1i</t>
  </si>
  <si>
    <t>X3i</t>
  </si>
  <si>
    <t>X2i²</t>
  </si>
  <si>
    <t>X6i²</t>
  </si>
  <si>
    <t>X7i²</t>
  </si>
  <si>
    <t>X8i²</t>
  </si>
  <si>
    <t>X9i²</t>
  </si>
  <si>
    <t>D1i²</t>
  </si>
  <si>
    <t>X3i²</t>
  </si>
  <si>
    <t>Moyenne</t>
  </si>
  <si>
    <t>Somme</t>
  </si>
  <si>
    <t>Données Turquie</t>
  </si>
  <si>
    <t>[(X teta - X moyen)²]/SXX</t>
  </si>
  <si>
    <t>Somme [(X teta - X moyen)²]/SXX</t>
  </si>
  <si>
    <t>X10</t>
  </si>
  <si>
    <t>D2</t>
  </si>
  <si>
    <t>X10i</t>
  </si>
  <si>
    <t>D2i</t>
  </si>
  <si>
    <t>X10i²</t>
  </si>
  <si>
    <t>D2i²</t>
  </si>
  <si>
    <t>Continent</t>
  </si>
  <si>
    <t>Afrique</t>
  </si>
  <si>
    <t>Europe</t>
  </si>
  <si>
    <t>Asie</t>
  </si>
  <si>
    <t>Océanie</t>
  </si>
  <si>
    <t>Amérique Latine</t>
  </si>
  <si>
    <t>Amérique du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</si>
</sst>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3" fillId="0" borderId="1" xfId="1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/>
    </xf>
    <xf numFmtId="0" fontId="4" fillId="0" borderId="0" xfId="0" applyFont="1"/>
    <xf numFmtId="0" fontId="0" fillId="2" borderId="1" xfId="0" applyFill="1" applyBorder="1"/>
    <xf numFmtId="0" fontId="0" fillId="3" borderId="1" xfId="0" applyFill="1" applyBorder="1"/>
    <xf numFmtId="0" fontId="4" fillId="4" borderId="1" xfId="0" applyFont="1" applyFill="1" applyBorder="1"/>
    <xf numFmtId="0" fontId="3" fillId="0" borderId="1" xfId="1" applyNumberFormat="1" applyFont="1" applyBorder="1" applyAlignment="1"/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5" borderId="1" xfId="0" applyFill="1" applyBorder="1"/>
    <xf numFmtId="0" fontId="0" fillId="0" borderId="2" xfId="0" applyBorder="1"/>
    <xf numFmtId="10" fontId="0" fillId="0" borderId="2" xfId="0" applyNumberFormat="1" applyBorder="1"/>
    <xf numFmtId="0" fontId="3" fillId="0" borderId="2" xfId="1" applyNumberFormat="1" applyFont="1" applyBorder="1"/>
    <xf numFmtId="0" fontId="0" fillId="7" borderId="1" xfId="0" applyFill="1" applyBorder="1"/>
    <xf numFmtId="10" fontId="0" fillId="5" borderId="1" xfId="0" applyNumberFormat="1" applyFill="1" applyBorder="1"/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4" xfId="0" applyBorder="1"/>
    <xf numFmtId="0" fontId="0" fillId="8" borderId="1" xfId="0" applyFill="1" applyBorder="1"/>
    <xf numFmtId="0" fontId="0" fillId="9" borderId="1" xfId="0" applyFill="1" applyBorder="1"/>
    <xf numFmtId="0" fontId="0" fillId="10" borderId="4" xfId="0" applyFill="1" applyBorder="1"/>
    <xf numFmtId="10" fontId="0" fillId="10" borderId="4" xfId="0" applyNumberFormat="1" applyFill="1" applyBorder="1"/>
    <xf numFmtId="0" fontId="0" fillId="10" borderId="5" xfId="0" applyFill="1" applyBorder="1"/>
    <xf numFmtId="0" fontId="0" fillId="10" borderId="2" xfId="0" applyFill="1" applyBorder="1"/>
    <xf numFmtId="0" fontId="0" fillId="0" borderId="3" xfId="0" applyBorder="1"/>
    <xf numFmtId="0" fontId="4" fillId="0" borderId="1" xfId="0" applyNumberFormat="1" applyFont="1" applyBorder="1"/>
    <xf numFmtId="0" fontId="0" fillId="0" borderId="1" xfId="0" applyNumberFormat="1" applyBorder="1"/>
    <xf numFmtId="0" fontId="0" fillId="2" borderId="1" xfId="0" applyNumberFormat="1" applyFill="1" applyBorder="1"/>
    <xf numFmtId="0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showGridLines="0" tabSelected="1" workbookViewId="0">
      <pane ySplit="1" topLeftCell="A2" activePane="bottomLeft" state="frozen"/>
      <selection pane="bottomLeft" activeCell="E14" sqref="E14"/>
    </sheetView>
  </sheetViews>
  <sheetFormatPr baseColWidth="10" defaultColWidth="11.44140625" defaultRowHeight="14.4" x14ac:dyDescent="0.3"/>
  <cols>
    <col min="1" max="3" width="27.33203125" customWidth="1"/>
    <col min="4" max="4" width="19.5546875" customWidth="1"/>
    <col min="5" max="5" width="23.5546875" style="38" customWidth="1"/>
    <col min="6" max="6" width="17.44140625" customWidth="1"/>
    <col min="7" max="7" width="23.44140625" customWidth="1"/>
    <col min="8" max="8" width="18" customWidth="1"/>
    <col min="9" max="9" width="16.88671875" customWidth="1"/>
    <col min="10" max="11" width="23.5546875" customWidth="1"/>
    <col min="12" max="12" width="16.6640625" customWidth="1"/>
    <col min="13" max="13" width="16" customWidth="1"/>
    <col min="14" max="14" width="12.5546875" bestFit="1" customWidth="1"/>
    <col min="15" max="15" width="19.109375" customWidth="1"/>
  </cols>
  <sheetData>
    <row r="1" spans="1:15" s="8" customFormat="1" ht="28.8" x14ac:dyDescent="0.3">
      <c r="A1" s="11" t="s">
        <v>0</v>
      </c>
      <c r="B1" s="11" t="s">
        <v>154</v>
      </c>
      <c r="C1" s="4" t="s">
        <v>1</v>
      </c>
      <c r="D1" s="4" t="s">
        <v>2</v>
      </c>
      <c r="E1" s="35" t="s">
        <v>3</v>
      </c>
      <c r="F1" s="4" t="s">
        <v>4</v>
      </c>
      <c r="G1" s="4" t="s">
        <v>5</v>
      </c>
      <c r="H1" s="5" t="s">
        <v>6</v>
      </c>
      <c r="I1" s="4" t="s">
        <v>7</v>
      </c>
      <c r="J1" s="6" t="s">
        <v>8</v>
      </c>
      <c r="K1" s="6" t="s">
        <v>9</v>
      </c>
      <c r="L1" s="4" t="s">
        <v>10</v>
      </c>
      <c r="M1" s="7" t="s">
        <v>11</v>
      </c>
      <c r="N1" s="4" t="s">
        <v>12</v>
      </c>
      <c r="O1" s="4" t="s">
        <v>13</v>
      </c>
    </row>
    <row r="2" spans="1:15" x14ac:dyDescent="0.3">
      <c r="A2" s="10" t="s">
        <v>14</v>
      </c>
      <c r="B2" s="10" t="s">
        <v>155</v>
      </c>
      <c r="C2" s="1">
        <v>2.4</v>
      </c>
      <c r="D2" s="1">
        <v>5741.6</v>
      </c>
      <c r="E2" s="36">
        <f t="shared" ref="E2:E33" si="0">N2/M2</f>
        <v>0.13859689027021166</v>
      </c>
      <c r="F2" s="1">
        <v>32</v>
      </c>
      <c r="G2" s="1">
        <f t="shared" ref="G2:G33" si="1">(O2*1000000)/M2</f>
        <v>8408.6906994573637</v>
      </c>
      <c r="H2" s="1">
        <v>12</v>
      </c>
      <c r="I2" s="1">
        <v>29.2</v>
      </c>
      <c r="J2" s="3">
        <v>45.6</v>
      </c>
      <c r="K2" s="3">
        <v>2.2999999999999998</v>
      </c>
      <c r="L2" s="1">
        <v>6</v>
      </c>
      <c r="M2" s="13">
        <v>59308690</v>
      </c>
      <c r="N2" s="1">
        <v>8220000</v>
      </c>
      <c r="O2" s="1">
        <v>498708.43</v>
      </c>
    </row>
    <row r="3" spans="1:15" x14ac:dyDescent="0.3">
      <c r="A3" s="10" t="s">
        <v>15</v>
      </c>
      <c r="B3" s="10" t="s">
        <v>156</v>
      </c>
      <c r="C3" s="1">
        <v>1.4</v>
      </c>
      <c r="D3" s="1">
        <v>5332.2</v>
      </c>
      <c r="E3" s="36">
        <f t="shared" si="0"/>
        <v>1.0424640792939878E-2</v>
      </c>
      <c r="F3" s="1">
        <v>10</v>
      </c>
      <c r="G3" s="1">
        <f t="shared" si="1"/>
        <v>8587.1449584525944</v>
      </c>
      <c r="H3" s="1">
        <v>4</v>
      </c>
      <c r="I3" s="1">
        <v>13.3</v>
      </c>
      <c r="J3" s="1">
        <v>43.2</v>
      </c>
      <c r="K3" s="1">
        <v>2.9</v>
      </c>
      <c r="L3" s="1">
        <v>6</v>
      </c>
      <c r="M3" s="13">
        <v>2877797</v>
      </c>
      <c r="N3" s="1">
        <v>30000</v>
      </c>
      <c r="O3" s="1">
        <v>24712.06</v>
      </c>
    </row>
    <row r="4" spans="1:15" x14ac:dyDescent="0.3">
      <c r="A4" s="10" t="s">
        <v>16</v>
      </c>
      <c r="B4" s="10" t="s">
        <v>155</v>
      </c>
      <c r="C4" s="1">
        <v>2.9</v>
      </c>
      <c r="D4" s="1">
        <v>3337.3</v>
      </c>
      <c r="E4" s="36">
        <f t="shared" si="0"/>
        <v>1.6875310881994052E-2</v>
      </c>
      <c r="F4" s="1">
        <v>23</v>
      </c>
      <c r="G4" s="1">
        <f t="shared" si="1"/>
        <v>5109.9273713985012</v>
      </c>
      <c r="H4" s="1">
        <v>0</v>
      </c>
      <c r="I4" s="1">
        <v>12.6</v>
      </c>
      <c r="J4" s="1">
        <v>19</v>
      </c>
      <c r="K4" s="1">
        <v>1.9</v>
      </c>
      <c r="L4" s="1">
        <v>2</v>
      </c>
      <c r="M4" s="13">
        <v>43851044</v>
      </c>
      <c r="N4" s="1">
        <v>740000</v>
      </c>
      <c r="O4" s="1">
        <v>224075.65</v>
      </c>
    </row>
    <row r="5" spans="1:15" x14ac:dyDescent="0.3">
      <c r="A5" s="10" t="s">
        <v>17</v>
      </c>
      <c r="B5" s="10" t="s">
        <v>156</v>
      </c>
      <c r="C5" s="1">
        <v>1.5</v>
      </c>
      <c r="D5" s="1">
        <v>46772.800000000003</v>
      </c>
      <c r="E5" s="36">
        <f t="shared" si="0"/>
        <v>0.2524350071759574</v>
      </c>
      <c r="F5" s="1">
        <v>4</v>
      </c>
      <c r="G5" s="1">
        <f t="shared" si="1"/>
        <v>26172.542347076484</v>
      </c>
      <c r="H5" s="1">
        <v>2</v>
      </c>
      <c r="I5" s="1">
        <v>3.8</v>
      </c>
      <c r="J5" s="1">
        <v>47</v>
      </c>
      <c r="K5" s="1">
        <v>8</v>
      </c>
      <c r="L5" s="1">
        <v>6</v>
      </c>
      <c r="M5" s="13">
        <v>83783942</v>
      </c>
      <c r="N5" s="1">
        <v>21150000</v>
      </c>
      <c r="O5" s="1">
        <v>2192838.77</v>
      </c>
    </row>
    <row r="6" spans="1:15" x14ac:dyDescent="0.3">
      <c r="A6" s="10" t="s">
        <v>18</v>
      </c>
      <c r="B6" s="10" t="s">
        <v>157</v>
      </c>
      <c r="C6" s="1">
        <v>2.5</v>
      </c>
      <c r="D6" s="1">
        <v>19539.599999999999</v>
      </c>
      <c r="E6" s="36">
        <f t="shared" si="0"/>
        <v>6.0320784206961643E-3</v>
      </c>
      <c r="F6" s="1">
        <v>7</v>
      </c>
      <c r="G6" s="1">
        <f t="shared" si="1"/>
        <v>19334.032977832314</v>
      </c>
      <c r="H6" s="1">
        <v>5</v>
      </c>
      <c r="I6" s="1">
        <v>7.4</v>
      </c>
      <c r="J6" s="1">
        <v>20.7</v>
      </c>
      <c r="K6" s="1">
        <v>2.2000000000000002</v>
      </c>
      <c r="L6" s="1">
        <v>2</v>
      </c>
      <c r="M6" s="13">
        <v>34813871</v>
      </c>
      <c r="N6" s="1">
        <v>210000</v>
      </c>
      <c r="O6" s="1">
        <v>673092.53</v>
      </c>
    </row>
    <row r="7" spans="1:15" x14ac:dyDescent="0.3">
      <c r="A7" s="10" t="s">
        <v>19</v>
      </c>
      <c r="B7" s="10"/>
      <c r="C7" s="1">
        <v>1.6</v>
      </c>
      <c r="D7" s="1">
        <v>4505.8999999999996</v>
      </c>
      <c r="E7" s="36">
        <f t="shared" si="0"/>
        <v>1.3498724201828875E-2</v>
      </c>
      <c r="F7" s="1">
        <v>11</v>
      </c>
      <c r="G7" s="1">
        <f t="shared" si="1"/>
        <v>9387.6708727566383</v>
      </c>
      <c r="H7" s="1">
        <v>10</v>
      </c>
      <c r="I7" s="1">
        <v>21.2</v>
      </c>
      <c r="J7" s="1">
        <v>46.5</v>
      </c>
      <c r="K7" s="1">
        <v>4.2</v>
      </c>
      <c r="L7" s="1">
        <v>6</v>
      </c>
      <c r="M7" s="13">
        <v>2963243</v>
      </c>
      <c r="N7" s="1">
        <v>40000</v>
      </c>
      <c r="O7" s="1">
        <v>27817.95</v>
      </c>
    </row>
    <row r="8" spans="1:15" x14ac:dyDescent="0.3">
      <c r="A8" s="10" t="s">
        <v>20</v>
      </c>
      <c r="B8" s="10" t="s">
        <v>158</v>
      </c>
      <c r="C8" s="1">
        <v>1.6</v>
      </c>
      <c r="D8" s="1">
        <v>51720.4</v>
      </c>
      <c r="E8" s="36">
        <f t="shared" si="0"/>
        <v>0.27411889403104733</v>
      </c>
      <c r="F8" s="1">
        <v>4</v>
      </c>
      <c r="G8" s="1">
        <f t="shared" si="1"/>
        <v>25859.374889705381</v>
      </c>
      <c r="H8" s="1">
        <v>1</v>
      </c>
      <c r="I8" s="1">
        <v>6.5</v>
      </c>
      <c r="J8" s="1">
        <v>47</v>
      </c>
      <c r="K8" s="1">
        <v>3.8</v>
      </c>
      <c r="L8" s="1">
        <v>5</v>
      </c>
      <c r="M8" s="13">
        <v>25499884</v>
      </c>
      <c r="N8" s="1">
        <v>6990000</v>
      </c>
      <c r="O8" s="1">
        <v>659411.06000000006</v>
      </c>
    </row>
    <row r="9" spans="1:15" x14ac:dyDescent="0.3">
      <c r="A9" s="10" t="s">
        <v>21</v>
      </c>
      <c r="B9" s="10" t="s">
        <v>156</v>
      </c>
      <c r="C9" s="1">
        <v>1.4</v>
      </c>
      <c r="D9" s="1">
        <v>48809.2</v>
      </c>
      <c r="E9" s="36">
        <f t="shared" si="0"/>
        <v>0.13879022446043357</v>
      </c>
      <c r="F9" s="1">
        <v>4</v>
      </c>
      <c r="G9" s="1">
        <f t="shared" si="1"/>
        <v>25827.573909125491</v>
      </c>
      <c r="H9" s="1">
        <v>0</v>
      </c>
      <c r="I9" s="1">
        <v>5.4</v>
      </c>
      <c r="J9" s="1">
        <v>46.8</v>
      </c>
      <c r="K9" s="1">
        <v>7.4</v>
      </c>
      <c r="L9" s="1">
        <v>6</v>
      </c>
      <c r="M9" s="13">
        <v>9006398</v>
      </c>
      <c r="N9" s="1">
        <v>1250000</v>
      </c>
      <c r="O9" s="1">
        <v>232613.41</v>
      </c>
    </row>
    <row r="10" spans="1:15" x14ac:dyDescent="0.3">
      <c r="A10" s="10" t="s">
        <v>22</v>
      </c>
      <c r="B10" s="10" t="s">
        <v>157</v>
      </c>
      <c r="C10" s="1">
        <v>1.7</v>
      </c>
      <c r="D10" s="1">
        <v>4229.8999999999996</v>
      </c>
      <c r="E10" s="36">
        <f t="shared" si="0"/>
        <v>9.8627334348734617E-4</v>
      </c>
      <c r="F10" s="1">
        <v>19</v>
      </c>
      <c r="G10" s="1">
        <f t="shared" si="1"/>
        <v>8763.3098820545292</v>
      </c>
      <c r="H10" s="1">
        <v>10</v>
      </c>
      <c r="I10" s="1">
        <v>6.5</v>
      </c>
      <c r="J10" s="1">
        <v>48.9</v>
      </c>
      <c r="K10" s="1">
        <v>4.8</v>
      </c>
      <c r="L10" s="1">
        <v>6</v>
      </c>
      <c r="M10" s="13">
        <v>10139177</v>
      </c>
      <c r="N10" s="1">
        <v>10000</v>
      </c>
      <c r="O10" s="1">
        <v>88852.75</v>
      </c>
    </row>
    <row r="11" spans="1:15" x14ac:dyDescent="0.3">
      <c r="A11" s="10" t="s">
        <v>23</v>
      </c>
      <c r="B11" s="10" t="s">
        <v>157</v>
      </c>
      <c r="C11" s="1">
        <v>1.8</v>
      </c>
      <c r="D11" s="1">
        <v>23501.9</v>
      </c>
      <c r="E11" s="36">
        <f t="shared" si="0"/>
        <v>1.7630724475853253E-2</v>
      </c>
      <c r="F11" s="1">
        <v>7</v>
      </c>
      <c r="G11" s="1">
        <f t="shared" si="1"/>
        <v>16553.199241878847</v>
      </c>
      <c r="H11" s="1">
        <v>2</v>
      </c>
      <c r="I11" s="1">
        <v>1.8</v>
      </c>
      <c r="J11" s="1">
        <v>20.9</v>
      </c>
      <c r="K11" s="1">
        <v>1.7</v>
      </c>
      <c r="L11" s="1">
        <v>1</v>
      </c>
      <c r="M11" s="13">
        <v>1701575</v>
      </c>
      <c r="N11" s="1">
        <v>30000</v>
      </c>
      <c r="O11" s="1">
        <v>28166.51</v>
      </c>
    </row>
    <row r="12" spans="1:15" x14ac:dyDescent="0.3">
      <c r="A12" s="10" t="s">
        <v>24</v>
      </c>
      <c r="B12" s="10" t="s">
        <v>156</v>
      </c>
      <c r="C12" s="1">
        <v>1.6</v>
      </c>
      <c r="D12" s="1">
        <v>45517.8</v>
      </c>
      <c r="E12" s="36">
        <f t="shared" si="0"/>
        <v>0.29077736178303643</v>
      </c>
      <c r="F12" s="1">
        <v>4</v>
      </c>
      <c r="G12" s="1">
        <f t="shared" si="1"/>
        <v>23592.417113136464</v>
      </c>
      <c r="H12" s="1">
        <v>1</v>
      </c>
      <c r="I12" s="1">
        <v>5.6</v>
      </c>
      <c r="J12" s="1">
        <v>46.7</v>
      </c>
      <c r="K12" s="1">
        <v>5.7</v>
      </c>
      <c r="L12" s="1">
        <v>6</v>
      </c>
      <c r="M12" s="13">
        <v>11589623</v>
      </c>
      <c r="N12" s="1">
        <v>3370000</v>
      </c>
      <c r="O12" s="1">
        <v>273427.21999999997</v>
      </c>
    </row>
    <row r="13" spans="1:15" x14ac:dyDescent="0.3">
      <c r="A13" s="10" t="s">
        <v>25</v>
      </c>
      <c r="B13" s="10" t="s">
        <v>159</v>
      </c>
      <c r="C13" s="1">
        <v>2</v>
      </c>
      <c r="D13" s="1">
        <v>5266.9</v>
      </c>
      <c r="E13" s="36">
        <f t="shared" si="0"/>
        <v>7.544740310038528E-2</v>
      </c>
      <c r="F13" s="1">
        <v>12</v>
      </c>
      <c r="G13" s="1">
        <f t="shared" si="1"/>
        <v>4327.436699628799</v>
      </c>
      <c r="H13" s="1">
        <v>0</v>
      </c>
      <c r="I13" s="1">
        <v>8.5</v>
      </c>
      <c r="J13" s="1">
        <v>37.799999999999997</v>
      </c>
      <c r="K13" s="1">
        <v>1</v>
      </c>
      <c r="L13" s="1">
        <v>4</v>
      </c>
      <c r="M13" s="13">
        <v>397628</v>
      </c>
      <c r="N13" s="1">
        <v>30000</v>
      </c>
      <c r="O13" s="1">
        <v>1720.71</v>
      </c>
    </row>
    <row r="14" spans="1:15" x14ac:dyDescent="0.3">
      <c r="A14" s="10" t="s">
        <v>26</v>
      </c>
      <c r="B14" s="10" t="s">
        <v>155</v>
      </c>
      <c r="C14" s="1">
        <v>5</v>
      </c>
      <c r="D14" s="1">
        <v>1237.9000000000001</v>
      </c>
      <c r="E14" s="36">
        <f t="shared" si="0"/>
        <v>4.9491883331133697E-2</v>
      </c>
      <c r="F14" s="1">
        <v>86</v>
      </c>
      <c r="G14" s="1">
        <f t="shared" si="1"/>
        <v>2363.06998152303</v>
      </c>
      <c r="H14" s="1">
        <v>7</v>
      </c>
      <c r="I14" s="1">
        <v>1.6</v>
      </c>
      <c r="J14" s="1">
        <v>49.3</v>
      </c>
      <c r="K14" s="1">
        <v>0.5</v>
      </c>
      <c r="L14" s="1">
        <v>5</v>
      </c>
      <c r="M14" s="13">
        <v>12123200</v>
      </c>
      <c r="N14" s="1">
        <v>600000</v>
      </c>
      <c r="O14" s="1">
        <v>28647.97</v>
      </c>
    </row>
    <row r="15" spans="1:15" x14ac:dyDescent="0.3">
      <c r="A15" s="10" t="s">
        <v>27</v>
      </c>
      <c r="B15" s="10" t="s">
        <v>157</v>
      </c>
      <c r="C15" s="1">
        <v>1.4</v>
      </c>
      <c r="D15" s="1">
        <v>3009.9</v>
      </c>
      <c r="E15" s="36">
        <f t="shared" si="0"/>
        <v>1.2959948574924055E-2</v>
      </c>
      <c r="F15" s="1">
        <v>28</v>
      </c>
      <c r="G15" s="1">
        <f t="shared" si="1"/>
        <v>6476.4362215010733</v>
      </c>
      <c r="H15" s="1">
        <v>4</v>
      </c>
      <c r="I15" s="1">
        <v>3.6</v>
      </c>
      <c r="J15" s="1">
        <v>39.799999999999997</v>
      </c>
      <c r="K15" s="1">
        <v>1.7</v>
      </c>
      <c r="L15" s="1">
        <v>4</v>
      </c>
      <c r="M15" s="13">
        <v>771608</v>
      </c>
      <c r="N15" s="1">
        <v>10000</v>
      </c>
      <c r="O15" s="1">
        <v>4997.2700000000004</v>
      </c>
    </row>
    <row r="16" spans="1:15" x14ac:dyDescent="0.3">
      <c r="A16" s="10" t="s">
        <v>28</v>
      </c>
      <c r="B16" s="10" t="s">
        <v>159</v>
      </c>
      <c r="C16" s="1">
        <v>2.7</v>
      </c>
      <c r="D16" s="1">
        <v>3068.8</v>
      </c>
      <c r="E16" s="36">
        <f t="shared" si="0"/>
        <v>4.1120460590279073E-2</v>
      </c>
      <c r="F16" s="1">
        <v>25</v>
      </c>
      <c r="G16" s="1">
        <f t="shared" si="1"/>
        <v>5789.6280662906374</v>
      </c>
      <c r="H16" s="1">
        <v>5</v>
      </c>
      <c r="I16" s="1">
        <v>7.9</v>
      </c>
      <c r="J16" s="1">
        <v>42.6</v>
      </c>
      <c r="K16" s="1">
        <v>1.3</v>
      </c>
      <c r="L16" s="1">
        <v>4</v>
      </c>
      <c r="M16" s="13">
        <v>11673021</v>
      </c>
      <c r="N16" s="1">
        <v>480000</v>
      </c>
      <c r="O16" s="1">
        <v>67582.45</v>
      </c>
    </row>
    <row r="17" spans="1:15" x14ac:dyDescent="0.3">
      <c r="A17" s="10" t="s">
        <v>29</v>
      </c>
      <c r="B17" s="10" t="s">
        <v>159</v>
      </c>
      <c r="C17" s="1">
        <v>1.6</v>
      </c>
      <c r="D17" s="1">
        <v>6794.7</v>
      </c>
      <c r="E17" s="36">
        <f t="shared" si="0"/>
        <v>8.1058296754396811E-2</v>
      </c>
      <c r="F17" s="1">
        <v>15</v>
      </c>
      <c r="G17" s="1">
        <f t="shared" si="1"/>
        <v>8831.180672010727</v>
      </c>
      <c r="H17" s="1">
        <v>5</v>
      </c>
      <c r="I17" s="1">
        <v>13.7</v>
      </c>
      <c r="J17" s="1">
        <v>42.8</v>
      </c>
      <c r="K17" s="1">
        <v>2.1</v>
      </c>
      <c r="L17" s="1">
        <v>2</v>
      </c>
      <c r="M17" s="13">
        <v>217374417</v>
      </c>
      <c r="N17" s="1">
        <v>17620000</v>
      </c>
      <c r="O17" s="1">
        <v>1919672.75</v>
      </c>
    </row>
    <row r="18" spans="1:15" x14ac:dyDescent="0.3">
      <c r="A18" s="10" t="s">
        <v>30</v>
      </c>
      <c r="B18" s="10" t="s">
        <v>158</v>
      </c>
      <c r="C18" s="1">
        <v>1.8</v>
      </c>
      <c r="D18" s="1">
        <v>27179.4</v>
      </c>
      <c r="E18" s="36">
        <f t="shared" si="0"/>
        <v>2.2858240052665384E-2</v>
      </c>
      <c r="F18" s="1">
        <v>12</v>
      </c>
      <c r="G18" s="1">
        <f t="shared" si="1"/>
        <v>13291.97515766471</v>
      </c>
      <c r="H18" s="1">
        <v>2</v>
      </c>
      <c r="I18" s="1">
        <v>7.7</v>
      </c>
      <c r="J18" s="1">
        <v>41.1</v>
      </c>
      <c r="K18" s="1">
        <v>2.9</v>
      </c>
      <c r="L18" s="1">
        <v>1</v>
      </c>
      <c r="M18" s="13">
        <v>437479</v>
      </c>
      <c r="N18" s="1">
        <v>10000</v>
      </c>
      <c r="O18" s="1">
        <v>5814.96</v>
      </c>
    </row>
    <row r="19" spans="1:15" x14ac:dyDescent="0.3">
      <c r="A19" s="10" t="s">
        <v>31</v>
      </c>
      <c r="B19" s="10" t="s">
        <v>156</v>
      </c>
      <c r="C19" s="1">
        <v>1.6</v>
      </c>
      <c r="D19" s="1">
        <v>10129.799999999999</v>
      </c>
      <c r="E19" s="36">
        <f t="shared" si="0"/>
        <v>4.6053469517280482E-2</v>
      </c>
      <c r="F19" s="1">
        <v>6</v>
      </c>
      <c r="G19" s="1">
        <f t="shared" si="1"/>
        <v>12933.502387944352</v>
      </c>
      <c r="H19" s="1">
        <v>15</v>
      </c>
      <c r="I19" s="1">
        <v>5.0999999999999996</v>
      </c>
      <c r="J19" s="1">
        <v>46</v>
      </c>
      <c r="K19" s="1">
        <v>7.5</v>
      </c>
      <c r="L19" s="1">
        <v>6</v>
      </c>
      <c r="M19" s="13">
        <v>6948445</v>
      </c>
      <c r="N19" s="1">
        <v>320000</v>
      </c>
      <c r="O19" s="1">
        <v>89867.73</v>
      </c>
    </row>
    <row r="20" spans="1:15" x14ac:dyDescent="0.3">
      <c r="A20" s="10" t="s">
        <v>32</v>
      </c>
      <c r="B20" s="10" t="s">
        <v>155</v>
      </c>
      <c r="C20" s="1">
        <v>5.2</v>
      </c>
      <c r="D20" s="1">
        <v>216.8</v>
      </c>
      <c r="E20" s="36">
        <f t="shared" si="0"/>
        <v>8.4098744035717072E-4</v>
      </c>
      <c r="F20" s="1">
        <v>54</v>
      </c>
      <c r="G20" s="1">
        <f t="shared" si="1"/>
        <v>579.78262829431605</v>
      </c>
      <c r="H20" s="1">
        <v>10</v>
      </c>
      <c r="I20" s="1">
        <v>1.7</v>
      </c>
      <c r="J20" s="1">
        <v>51.5</v>
      </c>
      <c r="K20" s="1">
        <v>0.8</v>
      </c>
      <c r="L20" s="1">
        <v>2</v>
      </c>
      <c r="M20" s="13">
        <v>11890784</v>
      </c>
      <c r="N20" s="1">
        <v>10000</v>
      </c>
      <c r="O20" s="1">
        <v>6894.07</v>
      </c>
    </row>
    <row r="21" spans="1:15" x14ac:dyDescent="0.3">
      <c r="A21" s="10" t="s">
        <v>33</v>
      </c>
      <c r="B21" s="10" t="s">
        <v>155</v>
      </c>
      <c r="C21" s="1">
        <v>1.9</v>
      </c>
      <c r="D21" s="1">
        <v>2924.1</v>
      </c>
      <c r="E21" s="36">
        <f t="shared" si="0"/>
        <v>8.9930160237559509E-2</v>
      </c>
      <c r="F21" s="1">
        <v>14</v>
      </c>
      <c r="G21" s="1">
        <f t="shared" si="1"/>
        <v>4058.1164667519206</v>
      </c>
      <c r="H21" s="1">
        <v>8</v>
      </c>
      <c r="I21" s="1">
        <v>15.3</v>
      </c>
      <c r="J21" s="1">
        <v>43.3</v>
      </c>
      <c r="K21" s="1">
        <v>2.1</v>
      </c>
      <c r="L21" s="1">
        <v>6</v>
      </c>
      <c r="M21" s="13">
        <v>555987</v>
      </c>
      <c r="N21" s="1">
        <v>50000</v>
      </c>
      <c r="O21" s="1">
        <v>2256.2600000000002</v>
      </c>
    </row>
    <row r="22" spans="1:15" x14ac:dyDescent="0.3">
      <c r="A22" s="10" t="s">
        <v>34</v>
      </c>
      <c r="B22" s="10" t="s">
        <v>157</v>
      </c>
      <c r="C22" s="1">
        <v>2.4</v>
      </c>
      <c r="D22" s="1">
        <v>1577.9</v>
      </c>
      <c r="E22" s="36">
        <f t="shared" si="0"/>
        <v>1.7943694481087796E-3</v>
      </c>
      <c r="F22" s="1"/>
      <c r="G22" s="1">
        <f t="shared" si="1"/>
        <v>2903.622921634204</v>
      </c>
      <c r="H22" s="1"/>
      <c r="I22" s="1">
        <v>0.3</v>
      </c>
      <c r="J22" s="1">
        <v>47.6</v>
      </c>
      <c r="K22" s="1">
        <v>1.9</v>
      </c>
      <c r="L22" s="1">
        <v>6</v>
      </c>
      <c r="M22" s="13">
        <v>16718965</v>
      </c>
      <c r="N22" s="1">
        <v>30000</v>
      </c>
      <c r="O22" s="1">
        <v>48545.57</v>
      </c>
    </row>
    <row r="23" spans="1:15" x14ac:dyDescent="0.3">
      <c r="A23" s="10" t="s">
        <v>35</v>
      </c>
      <c r="B23" s="10" t="s">
        <v>155</v>
      </c>
      <c r="C23" s="1">
        <v>4.5</v>
      </c>
      <c r="D23" s="1">
        <v>1539.1</v>
      </c>
      <c r="E23" s="36">
        <f t="shared" si="0"/>
        <v>4.7465023080997593E-2</v>
      </c>
      <c r="F23" s="1">
        <v>72</v>
      </c>
      <c r="G23" s="1">
        <f t="shared" si="1"/>
        <v>2723.544154507239</v>
      </c>
      <c r="H23" s="1">
        <v>8</v>
      </c>
      <c r="I23" s="1">
        <v>3.8</v>
      </c>
      <c r="J23" s="1">
        <v>47</v>
      </c>
      <c r="K23" s="1">
        <v>1.3</v>
      </c>
      <c r="L23" s="1">
        <v>3</v>
      </c>
      <c r="M23" s="13">
        <v>26545863</v>
      </c>
      <c r="N23" s="1">
        <v>1260000</v>
      </c>
      <c r="O23" s="1">
        <v>72298.83</v>
      </c>
    </row>
    <row r="24" spans="1:15" x14ac:dyDescent="0.3">
      <c r="A24" s="10" t="s">
        <v>36</v>
      </c>
      <c r="B24" s="10" t="s">
        <v>160</v>
      </c>
      <c r="C24" s="1">
        <v>1.4</v>
      </c>
      <c r="D24" s="1">
        <v>43258.3</v>
      </c>
      <c r="E24" s="36">
        <f t="shared" si="0"/>
        <v>0.23713537918371061</v>
      </c>
      <c r="F24" s="1">
        <v>5</v>
      </c>
      <c r="G24" s="1">
        <f t="shared" si="1"/>
        <v>25269.252782975767</v>
      </c>
      <c r="H24" s="1">
        <v>0</v>
      </c>
      <c r="I24" s="1">
        <v>9.5</v>
      </c>
      <c r="J24" s="1">
        <v>47</v>
      </c>
      <c r="K24" s="1">
        <v>2.5</v>
      </c>
      <c r="L24" s="1">
        <v>6</v>
      </c>
      <c r="M24" s="13">
        <v>37742154</v>
      </c>
      <c r="N24" s="1">
        <v>8950000</v>
      </c>
      <c r="O24" s="1">
        <v>953716.03</v>
      </c>
    </row>
    <row r="25" spans="1:15" x14ac:dyDescent="0.3">
      <c r="A25" s="10" t="s">
        <v>37</v>
      </c>
      <c r="B25" s="10" t="s">
        <v>159</v>
      </c>
      <c r="C25" s="1">
        <v>1.5</v>
      </c>
      <c r="D25" s="1">
        <v>13094.5</v>
      </c>
      <c r="E25" s="36">
        <f t="shared" si="0"/>
        <v>9.41609684895027E-2</v>
      </c>
      <c r="F25" s="1">
        <v>7</v>
      </c>
      <c r="G25" s="1">
        <f t="shared" si="1"/>
        <v>12906.008364318832</v>
      </c>
      <c r="H25" s="1">
        <v>1</v>
      </c>
      <c r="I25" s="1">
        <v>11.2</v>
      </c>
      <c r="J25" s="1">
        <v>40.799999999999997</v>
      </c>
      <c r="K25" s="1">
        <v>2.1</v>
      </c>
      <c r="L25" s="1">
        <v>3</v>
      </c>
      <c r="M25" s="13">
        <v>19116201</v>
      </c>
      <c r="N25" s="1">
        <v>1800000</v>
      </c>
      <c r="O25" s="1">
        <v>246713.85</v>
      </c>
    </row>
    <row r="26" spans="1:15" x14ac:dyDescent="0.3">
      <c r="A26" s="10" t="s">
        <v>38</v>
      </c>
      <c r="B26" s="10" t="s">
        <v>156</v>
      </c>
      <c r="C26" s="1">
        <v>1.3</v>
      </c>
      <c r="D26" s="1">
        <v>28036.2</v>
      </c>
      <c r="E26" s="36">
        <f t="shared" si="0"/>
        <v>1.6565081305560319E-2</v>
      </c>
      <c r="F26" s="1">
        <v>3</v>
      </c>
      <c r="G26" s="1">
        <f t="shared" si="1"/>
        <v>16936.752034813177</v>
      </c>
      <c r="H26" s="1">
        <v>0</v>
      </c>
      <c r="I26" s="1">
        <v>7.6</v>
      </c>
      <c r="J26" s="1">
        <v>45.1</v>
      </c>
      <c r="K26" s="1">
        <v>1.95</v>
      </c>
      <c r="L26" s="1">
        <v>6</v>
      </c>
      <c r="M26" s="13">
        <v>1207359</v>
      </c>
      <c r="N26" s="1">
        <v>20000</v>
      </c>
      <c r="O26" s="1">
        <v>20448.740000000002</v>
      </c>
    </row>
    <row r="27" spans="1:15" x14ac:dyDescent="0.3">
      <c r="A27" s="10" t="s">
        <v>39</v>
      </c>
      <c r="B27" s="10" t="s">
        <v>159</v>
      </c>
      <c r="C27" s="1">
        <v>1.7</v>
      </c>
      <c r="D27" s="1">
        <v>5307.2</v>
      </c>
      <c r="E27" s="36">
        <f t="shared" si="0"/>
        <v>6.8981929505538511E-2</v>
      </c>
      <c r="F27" s="1">
        <v>13</v>
      </c>
      <c r="G27" s="1">
        <f t="shared" si="1"/>
        <v>9046.0239375942692</v>
      </c>
      <c r="H27" s="1">
        <v>1</v>
      </c>
      <c r="I27" s="1">
        <v>15</v>
      </c>
      <c r="J27" s="1">
        <v>41</v>
      </c>
      <c r="K27" s="1">
        <v>1.7</v>
      </c>
      <c r="L27" s="1">
        <v>6</v>
      </c>
      <c r="M27" s="13">
        <v>50882891</v>
      </c>
      <c r="N27" s="1">
        <v>3510000</v>
      </c>
      <c r="O27" s="1">
        <v>460287.85</v>
      </c>
    </row>
    <row r="28" spans="1:15" x14ac:dyDescent="0.3">
      <c r="A28" s="10" t="s">
        <v>40</v>
      </c>
      <c r="B28" s="10" t="s">
        <v>157</v>
      </c>
      <c r="C28" s="1">
        <v>0.8</v>
      </c>
      <c r="D28" s="1">
        <v>31721.3</v>
      </c>
      <c r="E28" s="36">
        <f t="shared" si="0"/>
        <v>0.45348877693296663</v>
      </c>
      <c r="F28" s="1">
        <v>3</v>
      </c>
      <c r="G28" s="1">
        <f t="shared" si="1"/>
        <v>18132.455392064454</v>
      </c>
      <c r="H28" s="1">
        <v>1</v>
      </c>
      <c r="I28" s="1">
        <v>3.9</v>
      </c>
      <c r="J28" s="1">
        <v>42.5</v>
      </c>
      <c r="K28" s="1">
        <v>12.3</v>
      </c>
      <c r="L28" s="1">
        <v>6</v>
      </c>
      <c r="M28" s="13">
        <v>51269185</v>
      </c>
      <c r="N28" s="1">
        <v>23250000</v>
      </c>
      <c r="O28" s="1">
        <v>929636.21</v>
      </c>
    </row>
    <row r="29" spans="1:15" x14ac:dyDescent="0.3">
      <c r="A29" s="10" t="s">
        <v>41</v>
      </c>
      <c r="B29" s="10" t="s">
        <v>159</v>
      </c>
      <c r="C29" s="1">
        <v>1.6</v>
      </c>
      <c r="D29" s="1">
        <v>12132.9</v>
      </c>
      <c r="E29" s="36">
        <f t="shared" si="0"/>
        <v>8.2448031239166428E-2</v>
      </c>
      <c r="F29" s="1">
        <v>8</v>
      </c>
      <c r="G29" s="1">
        <f t="shared" si="1"/>
        <v>12665.619445800039</v>
      </c>
      <c r="H29" s="1">
        <v>0</v>
      </c>
      <c r="I29" s="1">
        <v>17.399999999999999</v>
      </c>
      <c r="J29" s="1">
        <v>39.799999999999997</v>
      </c>
      <c r="K29" s="1">
        <v>1.1000000000000001</v>
      </c>
      <c r="L29" s="1">
        <v>2</v>
      </c>
      <c r="M29" s="13">
        <v>5094118</v>
      </c>
      <c r="N29" s="1">
        <v>420000</v>
      </c>
      <c r="O29" s="1">
        <v>64520.160000000003</v>
      </c>
    </row>
    <row r="30" spans="1:15" x14ac:dyDescent="0.3">
      <c r="A30" s="10" t="s">
        <v>42</v>
      </c>
      <c r="B30" s="10" t="s">
        <v>155</v>
      </c>
      <c r="C30" s="1">
        <v>4.5</v>
      </c>
      <c r="D30" s="1">
        <v>2288.1</v>
      </c>
      <c r="E30" s="36">
        <f t="shared" si="0"/>
        <v>7.468267256606706E-2</v>
      </c>
      <c r="F30" s="1">
        <v>78</v>
      </c>
      <c r="G30" s="1">
        <f t="shared" si="1"/>
        <v>3600.9425787297532</v>
      </c>
      <c r="H30" s="1">
        <v>4</v>
      </c>
      <c r="I30" s="1">
        <v>3.5</v>
      </c>
      <c r="J30" s="1">
        <v>40.9</v>
      </c>
      <c r="K30" s="1">
        <v>0.3</v>
      </c>
      <c r="L30" s="1">
        <v>2</v>
      </c>
      <c r="M30" s="13">
        <v>26378274</v>
      </c>
      <c r="N30" s="1">
        <v>1970000</v>
      </c>
      <c r="O30" s="1">
        <v>94986.65</v>
      </c>
    </row>
    <row r="31" spans="1:15" x14ac:dyDescent="0.3">
      <c r="A31" s="10" t="s">
        <v>43</v>
      </c>
      <c r="B31" s="10" t="s">
        <v>156</v>
      </c>
      <c r="C31" s="1">
        <v>1.5</v>
      </c>
      <c r="D31" s="1">
        <v>14198.8</v>
      </c>
      <c r="E31" s="36">
        <f t="shared" si="0"/>
        <v>5.3589693435286911E-2</v>
      </c>
      <c r="F31" s="1">
        <v>5</v>
      </c>
      <c r="G31" s="1">
        <f t="shared" si="1"/>
        <v>14058.710432232545</v>
      </c>
      <c r="H31" s="1">
        <v>2</v>
      </c>
      <c r="I31" s="1">
        <v>7.5</v>
      </c>
      <c r="J31" s="1">
        <v>45.4</v>
      </c>
      <c r="K31" s="1">
        <v>5.5</v>
      </c>
      <c r="L31" s="1">
        <v>6</v>
      </c>
      <c r="M31" s="13">
        <v>4105267</v>
      </c>
      <c r="N31" s="1">
        <v>220000</v>
      </c>
      <c r="O31" s="1">
        <v>57714.76</v>
      </c>
    </row>
    <row r="32" spans="1:15" x14ac:dyDescent="0.3">
      <c r="A32" s="10" t="s">
        <v>44</v>
      </c>
      <c r="B32" s="10" t="s">
        <v>156</v>
      </c>
      <c r="C32" s="1">
        <v>1.7</v>
      </c>
      <c r="D32" s="1">
        <v>60915.4</v>
      </c>
      <c r="E32" s="36">
        <f t="shared" si="0"/>
        <v>0.117399220538234</v>
      </c>
      <c r="F32" s="1">
        <v>4</v>
      </c>
      <c r="G32" s="1">
        <f t="shared" si="1"/>
        <v>24288.633234821576</v>
      </c>
      <c r="H32" s="1">
        <v>1</v>
      </c>
      <c r="I32" s="1">
        <v>5.6</v>
      </c>
      <c r="J32" s="1">
        <v>47.1</v>
      </c>
      <c r="K32" s="1">
        <v>2.9</v>
      </c>
      <c r="L32" s="1">
        <v>6</v>
      </c>
      <c r="M32" s="13">
        <v>5792202</v>
      </c>
      <c r="N32" s="1">
        <v>680000</v>
      </c>
      <c r="O32" s="1">
        <v>140684.67000000001</v>
      </c>
    </row>
    <row r="33" spans="1:15" x14ac:dyDescent="0.3">
      <c r="A33" s="10" t="s">
        <v>45</v>
      </c>
      <c r="B33" s="10" t="s">
        <v>157</v>
      </c>
      <c r="C33" s="1">
        <v>2.8</v>
      </c>
      <c r="D33" s="1">
        <v>2918</v>
      </c>
      <c r="E33" s="36">
        <f t="shared" si="0"/>
        <v>1.0121457489878543E-2</v>
      </c>
      <c r="F33" s="1">
        <v>56</v>
      </c>
      <c r="G33" s="1">
        <f t="shared" si="1"/>
        <v>3017.8744939271255</v>
      </c>
      <c r="H33" s="1">
        <v>33</v>
      </c>
      <c r="I33" s="1">
        <v>28.4</v>
      </c>
      <c r="J33" s="1">
        <v>27.7</v>
      </c>
      <c r="K33" s="1">
        <v>1.4</v>
      </c>
      <c r="L33" s="1">
        <v>2</v>
      </c>
      <c r="M33" s="13">
        <v>988000</v>
      </c>
      <c r="N33" s="1">
        <v>10000</v>
      </c>
      <c r="O33" s="1">
        <v>2981.66</v>
      </c>
    </row>
    <row r="34" spans="1:15" x14ac:dyDescent="0.3">
      <c r="A34" s="10" t="s">
        <v>46</v>
      </c>
      <c r="B34" s="10" t="s">
        <v>155</v>
      </c>
      <c r="C34" s="1">
        <v>3</v>
      </c>
      <c r="D34" s="1">
        <v>3398.8</v>
      </c>
      <c r="E34" s="36">
        <f t="shared" ref="E34:E65" si="2">N34/M34</f>
        <v>9.7718847319421537E-5</v>
      </c>
      <c r="F34" s="1">
        <v>20</v>
      </c>
      <c r="G34" s="1">
        <f t="shared" ref="G34:G65" si="3">(O34*1000000)/M34</f>
        <v>11599.283951465628</v>
      </c>
      <c r="H34" s="1">
        <v>1</v>
      </c>
      <c r="I34" s="1">
        <v>9.1999999999999993</v>
      </c>
      <c r="J34" s="1">
        <v>18.600000000000001</v>
      </c>
      <c r="K34" s="1">
        <v>1.4</v>
      </c>
      <c r="L34" s="1">
        <v>2</v>
      </c>
      <c r="M34" s="14">
        <v>102334404</v>
      </c>
      <c r="N34" s="1">
        <v>10000</v>
      </c>
      <c r="O34" s="1">
        <v>1187005.81</v>
      </c>
    </row>
    <row r="35" spans="1:15" x14ac:dyDescent="0.3">
      <c r="A35" s="10" t="s">
        <v>47</v>
      </c>
      <c r="B35" s="10" t="s">
        <v>157</v>
      </c>
      <c r="C35" s="1">
        <v>1.5</v>
      </c>
      <c r="D35" s="1">
        <v>37629.199999999997</v>
      </c>
      <c r="E35" s="36">
        <f t="shared" si="2"/>
        <v>1.0110812482647318E-2</v>
      </c>
      <c r="F35" s="1">
        <v>7</v>
      </c>
      <c r="G35" s="1">
        <f t="shared" si="3"/>
        <v>19616.193558158709</v>
      </c>
      <c r="H35" s="1">
        <v>0</v>
      </c>
      <c r="I35" s="1">
        <v>3.2</v>
      </c>
      <c r="J35" s="1">
        <v>16.399999999999999</v>
      </c>
      <c r="K35" s="1">
        <v>1.4</v>
      </c>
      <c r="L35" s="1">
        <v>1</v>
      </c>
      <c r="M35" s="13">
        <v>9890402</v>
      </c>
      <c r="N35" s="1">
        <v>100000</v>
      </c>
      <c r="O35" s="1">
        <v>194012.04</v>
      </c>
    </row>
    <row r="36" spans="1:15" x14ac:dyDescent="0.3">
      <c r="A36" s="10" t="s">
        <v>48</v>
      </c>
      <c r="B36" s="10" t="s">
        <v>159</v>
      </c>
      <c r="C36" s="1">
        <v>2.1</v>
      </c>
      <c r="D36" s="1">
        <v>5645.2</v>
      </c>
      <c r="E36" s="36">
        <f t="shared" si="2"/>
        <v>5.2145167157568069E-2</v>
      </c>
      <c r="F36" s="1">
        <v>13</v>
      </c>
      <c r="G36" s="1">
        <f t="shared" si="3"/>
        <v>6147.2866318949091</v>
      </c>
      <c r="H36" s="1">
        <v>1</v>
      </c>
      <c r="I36" s="1">
        <v>6.1</v>
      </c>
      <c r="J36" s="1">
        <v>40.5</v>
      </c>
      <c r="K36" s="1">
        <v>1.4</v>
      </c>
      <c r="L36" s="1">
        <v>3</v>
      </c>
      <c r="M36" s="13">
        <v>17643054</v>
      </c>
      <c r="N36" s="1">
        <v>920000</v>
      </c>
      <c r="O36" s="1">
        <v>108456.91</v>
      </c>
    </row>
    <row r="37" spans="1:15" x14ac:dyDescent="0.3">
      <c r="A37" s="10" t="s">
        <v>49</v>
      </c>
      <c r="B37" s="10"/>
      <c r="C37" s="1">
        <v>1.2</v>
      </c>
      <c r="D37" s="1">
        <v>26959.7</v>
      </c>
      <c r="E37" s="36">
        <f t="shared" si="2"/>
        <v>0.21794563969483505</v>
      </c>
      <c r="F37" s="1">
        <v>3</v>
      </c>
      <c r="G37" s="1">
        <f t="shared" si="3"/>
        <v>18904.456780866331</v>
      </c>
      <c r="H37" s="1">
        <v>2</v>
      </c>
      <c r="I37" s="1">
        <v>15.5</v>
      </c>
      <c r="J37" s="1">
        <v>46.8</v>
      </c>
      <c r="K37" s="1">
        <v>3</v>
      </c>
      <c r="L37" s="1">
        <v>6</v>
      </c>
      <c r="M37" s="13">
        <v>46754778</v>
      </c>
      <c r="N37" s="1">
        <v>10190000</v>
      </c>
      <c r="O37" s="1">
        <v>883873.68</v>
      </c>
    </row>
    <row r="38" spans="1:15" x14ac:dyDescent="0.3">
      <c r="A38" s="10" t="s">
        <v>50</v>
      </c>
      <c r="B38" s="10" t="s">
        <v>156</v>
      </c>
      <c r="C38" s="1">
        <v>1.6</v>
      </c>
      <c r="D38" s="1">
        <v>23595.200000000001</v>
      </c>
      <c r="E38" s="36">
        <f t="shared" si="2"/>
        <v>0.58045961847972349</v>
      </c>
      <c r="F38" s="1">
        <v>2</v>
      </c>
      <c r="G38" s="1">
        <f t="shared" si="3"/>
        <v>19234.954222843724</v>
      </c>
      <c r="H38" s="1">
        <v>2</v>
      </c>
      <c r="I38" s="1">
        <v>6.8</v>
      </c>
      <c r="J38" s="1">
        <v>48.3</v>
      </c>
      <c r="K38" s="1">
        <v>4.7</v>
      </c>
      <c r="L38" s="1">
        <v>6</v>
      </c>
      <c r="M38" s="13">
        <v>1326535</v>
      </c>
      <c r="N38" s="1">
        <v>770000</v>
      </c>
      <c r="O38" s="1">
        <v>25515.84</v>
      </c>
    </row>
    <row r="39" spans="1:15" x14ac:dyDescent="0.3">
      <c r="A39" s="10" t="s">
        <v>51</v>
      </c>
      <c r="B39" s="10" t="s">
        <v>160</v>
      </c>
      <c r="C39" s="1">
        <v>1.6</v>
      </c>
      <c r="D39" s="1">
        <v>63530.6</v>
      </c>
      <c r="E39" s="36">
        <f t="shared" si="2"/>
        <v>0.18824622646300196</v>
      </c>
      <c r="F39" s="1">
        <v>6</v>
      </c>
      <c r="G39" s="1">
        <f t="shared" si="3"/>
        <v>42439.43351378174</v>
      </c>
      <c r="H39" s="1">
        <v>2</v>
      </c>
      <c r="I39" s="1">
        <v>8.1</v>
      </c>
      <c r="J39" s="1">
        <v>46.2</v>
      </c>
      <c r="K39" s="1">
        <v>2.6</v>
      </c>
      <c r="L39" s="1">
        <v>1</v>
      </c>
      <c r="M39" s="14">
        <v>331002651</v>
      </c>
      <c r="N39" s="1">
        <v>62310000</v>
      </c>
      <c r="O39" s="1">
        <v>14047565</v>
      </c>
    </row>
    <row r="40" spans="1:15" x14ac:dyDescent="0.3">
      <c r="A40" s="10" t="s">
        <v>52</v>
      </c>
      <c r="B40" s="10" t="s">
        <v>155</v>
      </c>
      <c r="C40" s="1">
        <v>4.2</v>
      </c>
      <c r="D40" s="1">
        <v>918.7</v>
      </c>
      <c r="E40" s="36">
        <f t="shared" si="2"/>
        <v>5.2190437897606332E-4</v>
      </c>
      <c r="F40" s="1">
        <v>49</v>
      </c>
      <c r="G40" s="1">
        <f t="shared" si="3"/>
        <v>1610.4026781070891</v>
      </c>
      <c r="H40" s="1">
        <v>13</v>
      </c>
      <c r="I40" s="1">
        <v>3.2</v>
      </c>
      <c r="J40" s="1">
        <v>46</v>
      </c>
      <c r="K40" s="1">
        <v>0.3</v>
      </c>
      <c r="L40" s="1">
        <v>4</v>
      </c>
      <c r="M40" s="13">
        <v>114963588</v>
      </c>
      <c r="N40" s="1">
        <v>60000</v>
      </c>
      <c r="O40" s="1">
        <v>185137.67</v>
      </c>
    </row>
    <row r="41" spans="1:15" x14ac:dyDescent="0.3">
      <c r="A41" s="10" t="s">
        <v>53</v>
      </c>
      <c r="B41" s="10" t="s">
        <v>158</v>
      </c>
      <c r="C41" s="1">
        <v>2.5</v>
      </c>
      <c r="D41" s="1">
        <v>4864.1000000000004</v>
      </c>
      <c r="E41" s="36">
        <f t="shared" si="2"/>
        <v>1.1155174048603094E-2</v>
      </c>
      <c r="F41" s="1">
        <v>27</v>
      </c>
      <c r="G41" s="1">
        <f t="shared" si="3"/>
        <v>7161.8225323360612</v>
      </c>
      <c r="H41" s="1">
        <v>1</v>
      </c>
      <c r="I41" s="1">
        <v>4.7</v>
      </c>
      <c r="J41" s="1">
        <v>33.5</v>
      </c>
      <c r="K41" s="1">
        <v>2</v>
      </c>
      <c r="L41" s="1">
        <v>4</v>
      </c>
      <c r="M41" s="13">
        <v>896445</v>
      </c>
      <c r="N41" s="1">
        <v>10000</v>
      </c>
      <c r="O41" s="1">
        <v>6420.18</v>
      </c>
    </row>
    <row r="42" spans="1:15" x14ac:dyDescent="0.3">
      <c r="A42" s="10" t="s">
        <v>54</v>
      </c>
      <c r="B42" s="10" t="s">
        <v>156</v>
      </c>
      <c r="C42" s="1">
        <v>1.4</v>
      </c>
      <c r="D42" s="1">
        <v>49170.8</v>
      </c>
      <c r="E42" s="36">
        <f t="shared" si="2"/>
        <v>0.20574943328664866</v>
      </c>
      <c r="F42" s="1">
        <v>2</v>
      </c>
      <c r="G42" s="1">
        <f t="shared" si="3"/>
        <v>23737.887855729939</v>
      </c>
      <c r="H42" s="1">
        <v>2</v>
      </c>
      <c r="I42" s="1">
        <v>7.8</v>
      </c>
      <c r="J42" s="1">
        <v>47.7</v>
      </c>
      <c r="K42" s="1">
        <v>3.3</v>
      </c>
      <c r="L42" s="1">
        <v>5</v>
      </c>
      <c r="M42" s="13">
        <v>5540720</v>
      </c>
      <c r="N42" s="1">
        <v>1140000</v>
      </c>
      <c r="O42" s="1">
        <v>131524.99</v>
      </c>
    </row>
    <row r="43" spans="1:15" x14ac:dyDescent="0.3">
      <c r="A43" s="10" t="s">
        <v>55</v>
      </c>
      <c r="B43" s="10" t="s">
        <v>156</v>
      </c>
      <c r="C43" s="1">
        <v>1.8</v>
      </c>
      <c r="D43" s="1">
        <v>39055.300000000003</v>
      </c>
      <c r="E43" s="36">
        <f t="shared" si="2"/>
        <v>0.31539813199816102</v>
      </c>
      <c r="F43" s="1">
        <v>4</v>
      </c>
      <c r="G43" s="1">
        <f t="shared" si="3"/>
        <v>22484.988116394961</v>
      </c>
      <c r="H43" s="1">
        <v>0</v>
      </c>
      <c r="I43" s="1">
        <v>8</v>
      </c>
      <c r="J43" s="1">
        <v>48.5</v>
      </c>
      <c r="K43" s="1">
        <v>6</v>
      </c>
      <c r="L43" s="1">
        <v>6</v>
      </c>
      <c r="M43" s="13">
        <v>66043511</v>
      </c>
      <c r="N43" s="1">
        <v>20830000</v>
      </c>
      <c r="O43" s="1">
        <v>1484987.56</v>
      </c>
    </row>
    <row r="44" spans="1:15" x14ac:dyDescent="0.3">
      <c r="A44" s="10" t="s">
        <v>56</v>
      </c>
      <c r="B44" s="10" t="s">
        <v>155</v>
      </c>
      <c r="C44" s="1">
        <v>3.5</v>
      </c>
      <c r="D44" s="1">
        <v>6680.1</v>
      </c>
      <c r="E44" s="36">
        <f t="shared" si="2"/>
        <v>4.9421898573684007E-3</v>
      </c>
      <c r="F44" s="1">
        <v>42</v>
      </c>
      <c r="G44" s="1">
        <f t="shared" si="3"/>
        <v>5064.9268960262098</v>
      </c>
      <c r="H44" s="1">
        <v>23</v>
      </c>
      <c r="I44" s="1">
        <v>22</v>
      </c>
      <c r="J44" s="1">
        <v>39.299999999999997</v>
      </c>
      <c r="K44" s="1">
        <v>6.3</v>
      </c>
      <c r="L44" s="1">
        <v>3</v>
      </c>
      <c r="M44" s="13">
        <v>2225734</v>
      </c>
      <c r="N44" s="1">
        <v>11000</v>
      </c>
      <c r="O44" s="1">
        <v>11273.18</v>
      </c>
    </row>
    <row r="45" spans="1:15" x14ac:dyDescent="0.3">
      <c r="A45" s="10" t="s">
        <v>57</v>
      </c>
      <c r="B45" s="10" t="s">
        <v>155</v>
      </c>
      <c r="C45" s="1">
        <v>4.8</v>
      </c>
      <c r="D45" s="1">
        <v>704</v>
      </c>
      <c r="E45" s="36">
        <f t="shared" si="2"/>
        <v>4.1379287514875856E-3</v>
      </c>
      <c r="F45" s="1">
        <v>49</v>
      </c>
      <c r="G45" s="1">
        <f t="shared" si="3"/>
        <v>1968.8389137440477</v>
      </c>
      <c r="H45" s="1">
        <v>13</v>
      </c>
      <c r="I45" s="1">
        <v>11.1</v>
      </c>
      <c r="J45" s="1">
        <v>43.1</v>
      </c>
      <c r="K45" s="1">
        <v>1.1000000000000001</v>
      </c>
      <c r="L45" s="1">
        <v>2</v>
      </c>
      <c r="M45" s="13">
        <v>2416668</v>
      </c>
      <c r="N45" s="1">
        <v>10000</v>
      </c>
      <c r="O45" s="1">
        <v>4758.03</v>
      </c>
    </row>
    <row r="46" spans="1:15" x14ac:dyDescent="0.3">
      <c r="A46" s="10" t="s">
        <v>58</v>
      </c>
      <c r="B46" s="10" t="s">
        <v>157</v>
      </c>
      <c r="C46" s="1">
        <v>2</v>
      </c>
      <c r="D46" s="1">
        <v>4255.7</v>
      </c>
      <c r="E46" s="36">
        <f t="shared" si="2"/>
        <v>7.5203670340198842E-3</v>
      </c>
      <c r="F46" s="1">
        <v>9</v>
      </c>
      <c r="G46" s="1">
        <f t="shared" si="3"/>
        <v>10056.999368539848</v>
      </c>
      <c r="H46" s="1">
        <v>1</v>
      </c>
      <c r="I46" s="1">
        <v>18.5</v>
      </c>
      <c r="J46" s="1">
        <v>46.4</v>
      </c>
      <c r="K46" s="1">
        <v>2.9</v>
      </c>
      <c r="L46" s="1">
        <v>6</v>
      </c>
      <c r="M46" s="13">
        <v>3989167</v>
      </c>
      <c r="N46" s="1">
        <v>30000</v>
      </c>
      <c r="O46" s="1">
        <v>40119.050000000003</v>
      </c>
    </row>
    <row r="47" spans="1:15" x14ac:dyDescent="0.3">
      <c r="A47" s="10" t="s">
        <v>59</v>
      </c>
      <c r="B47" s="10" t="s">
        <v>155</v>
      </c>
      <c r="C47" s="1">
        <v>3.6</v>
      </c>
      <c r="D47" s="1">
        <v>2176.6</v>
      </c>
      <c r="E47" s="36">
        <f t="shared" si="2"/>
        <v>3.7331517391016103E-2</v>
      </c>
      <c r="F47" s="1">
        <v>45</v>
      </c>
      <c r="G47" s="1">
        <f t="shared" si="3"/>
        <v>4204.7292596065899</v>
      </c>
      <c r="H47" s="1">
        <v>6</v>
      </c>
      <c r="I47" s="1">
        <v>4.7</v>
      </c>
      <c r="J47" s="1">
        <v>47.8</v>
      </c>
      <c r="K47" s="1">
        <v>0.9</v>
      </c>
      <c r="L47" s="1">
        <v>4</v>
      </c>
      <c r="M47" s="13">
        <v>31072940</v>
      </c>
      <c r="N47" s="1">
        <v>1160000</v>
      </c>
      <c r="O47" s="1">
        <v>130653.3</v>
      </c>
    </row>
    <row r="48" spans="1:15" x14ac:dyDescent="0.3">
      <c r="A48" s="10" t="s">
        <v>60</v>
      </c>
      <c r="B48" s="10" t="s">
        <v>156</v>
      </c>
      <c r="C48" s="1">
        <v>1.3</v>
      </c>
      <c r="D48" s="1">
        <v>17658.900000000001</v>
      </c>
      <c r="E48" s="36">
        <f t="shared" si="2"/>
        <v>6.6199407582460956E-2</v>
      </c>
      <c r="F48" s="1">
        <v>4</v>
      </c>
      <c r="G48" s="1">
        <f t="shared" si="3"/>
        <v>17228.974348593034</v>
      </c>
      <c r="H48" s="1">
        <v>0</v>
      </c>
      <c r="I48" s="1">
        <v>16.3</v>
      </c>
      <c r="J48" s="1">
        <v>43.8</v>
      </c>
      <c r="K48" s="1">
        <v>4.2</v>
      </c>
      <c r="L48" s="1">
        <v>6</v>
      </c>
      <c r="M48" s="13">
        <v>10423054</v>
      </c>
      <c r="N48" s="1">
        <v>690000</v>
      </c>
      <c r="O48" s="1">
        <v>179578.53</v>
      </c>
    </row>
    <row r="49" spans="1:15" x14ac:dyDescent="0.3">
      <c r="A49" s="10" t="s">
        <v>61</v>
      </c>
      <c r="B49" s="10" t="s">
        <v>159</v>
      </c>
      <c r="C49" s="1">
        <v>2.5</v>
      </c>
      <c r="D49" s="1">
        <v>4604.6000000000004</v>
      </c>
      <c r="E49" s="36">
        <f t="shared" si="2"/>
        <v>4.0188510908501479E-2</v>
      </c>
      <c r="F49" s="1">
        <v>24</v>
      </c>
      <c r="G49" s="1">
        <f t="shared" si="3"/>
        <v>6046.8543336164394</v>
      </c>
      <c r="H49" s="1">
        <v>11</v>
      </c>
      <c r="I49" s="1">
        <v>3.6</v>
      </c>
      <c r="J49" s="1">
        <v>32.6</v>
      </c>
      <c r="K49" s="1">
        <v>0.4</v>
      </c>
      <c r="L49" s="1">
        <v>1</v>
      </c>
      <c r="M49" s="13">
        <v>17915568</v>
      </c>
      <c r="N49" s="1">
        <v>720000</v>
      </c>
      <c r="O49" s="1">
        <v>108332.83</v>
      </c>
    </row>
    <row r="50" spans="1:15" x14ac:dyDescent="0.3">
      <c r="A50" s="10" t="s">
        <v>62</v>
      </c>
      <c r="B50" s="10" t="s">
        <v>155</v>
      </c>
      <c r="C50" s="1">
        <v>4.5</v>
      </c>
      <c r="D50" s="1">
        <v>1073.7</v>
      </c>
      <c r="E50" s="36">
        <f t="shared" si="2"/>
        <v>1.7513408227266169E-2</v>
      </c>
      <c r="F50" s="1">
        <v>96</v>
      </c>
      <c r="G50" s="1">
        <f t="shared" si="3"/>
        <v>1825.2504512558066</v>
      </c>
      <c r="H50" s="1">
        <v>14</v>
      </c>
      <c r="I50" s="1">
        <v>6.1</v>
      </c>
      <c r="J50" s="1">
        <v>51.5</v>
      </c>
      <c r="K50" s="1">
        <v>0.3</v>
      </c>
      <c r="L50" s="1">
        <v>4</v>
      </c>
      <c r="M50" s="13">
        <v>13132795</v>
      </c>
      <c r="N50" s="1">
        <v>230000</v>
      </c>
      <c r="O50" s="1">
        <v>23970.639999999999</v>
      </c>
    </row>
    <row r="51" spans="1:15" x14ac:dyDescent="0.3">
      <c r="A51" s="10" t="s">
        <v>63</v>
      </c>
      <c r="B51" s="10" t="s">
        <v>156</v>
      </c>
      <c r="C51" s="1">
        <v>1.6</v>
      </c>
      <c r="D51" s="1">
        <v>16121</v>
      </c>
      <c r="E51" s="36">
        <f t="shared" si="2"/>
        <v>0.20392633766619866</v>
      </c>
      <c r="F51" s="1">
        <v>4</v>
      </c>
      <c r="G51" s="1">
        <f t="shared" si="3"/>
        <v>14607.767357521481</v>
      </c>
      <c r="H51" s="1">
        <v>6</v>
      </c>
      <c r="I51" s="1">
        <v>4.3</v>
      </c>
      <c r="J51" s="1">
        <v>44.9</v>
      </c>
      <c r="K51" s="1">
        <v>7</v>
      </c>
      <c r="L51" s="1">
        <v>5</v>
      </c>
      <c r="M51" s="13">
        <v>9660351</v>
      </c>
      <c r="N51" s="1">
        <v>1970000</v>
      </c>
      <c r="O51" s="1">
        <v>141116.16</v>
      </c>
    </row>
    <row r="52" spans="1:15" x14ac:dyDescent="0.3">
      <c r="A52" s="10" t="s">
        <v>64</v>
      </c>
      <c r="B52" s="10" t="s">
        <v>157</v>
      </c>
      <c r="C52" s="1">
        <v>2.1</v>
      </c>
      <c r="D52" s="1">
        <v>1910.4</v>
      </c>
      <c r="E52" s="36">
        <f t="shared" si="2"/>
        <v>6.3231758971551174E-4</v>
      </c>
      <c r="F52" s="1">
        <v>33</v>
      </c>
      <c r="G52" s="1">
        <f t="shared" si="3"/>
        <v>3988.2811527235376</v>
      </c>
      <c r="H52" s="1">
        <v>5</v>
      </c>
      <c r="I52" s="1">
        <v>8</v>
      </c>
      <c r="J52" s="1">
        <v>20.100000000000001</v>
      </c>
      <c r="K52" s="1">
        <v>0.5</v>
      </c>
      <c r="L52" s="1">
        <v>5</v>
      </c>
      <c r="M52" s="13">
        <v>1423335385</v>
      </c>
      <c r="N52" s="1">
        <v>900000</v>
      </c>
      <c r="O52" s="1">
        <v>5676661.6900000004</v>
      </c>
    </row>
    <row r="53" spans="1:15" x14ac:dyDescent="0.3">
      <c r="A53" s="10" t="s">
        <v>65</v>
      </c>
      <c r="B53" s="10" t="s">
        <v>157</v>
      </c>
      <c r="C53" s="1">
        <v>1.7</v>
      </c>
      <c r="D53" s="1">
        <v>2746.4</v>
      </c>
      <c r="E53" s="36">
        <f t="shared" si="2"/>
        <v>1.1905761280033161E-3</v>
      </c>
      <c r="F53" s="1">
        <v>25</v>
      </c>
      <c r="G53" s="1">
        <f t="shared" si="3"/>
        <v>7890.6087700290173</v>
      </c>
      <c r="H53" s="1">
        <v>0</v>
      </c>
      <c r="I53" s="1">
        <v>12.2</v>
      </c>
      <c r="J53" s="1">
        <v>16.8</v>
      </c>
      <c r="K53" s="1">
        <v>1.6</v>
      </c>
      <c r="L53" s="1">
        <v>3</v>
      </c>
      <c r="M53" s="13">
        <v>83992949</v>
      </c>
      <c r="N53" s="1">
        <v>100000</v>
      </c>
      <c r="O53" s="1">
        <v>662755.5</v>
      </c>
    </row>
    <row r="54" spans="1:15" x14ac:dyDescent="0.3">
      <c r="A54" s="10" t="s">
        <v>66</v>
      </c>
      <c r="B54" s="10" t="s">
        <v>156</v>
      </c>
      <c r="C54" s="1">
        <v>1.6</v>
      </c>
      <c r="D54" s="1">
        <v>85420.2</v>
      </c>
      <c r="E54" s="36">
        <f t="shared" si="2"/>
        <v>8.1007965918328581E-2</v>
      </c>
      <c r="F54" s="1">
        <v>3</v>
      </c>
      <c r="G54" s="1">
        <f t="shared" si="3"/>
        <v>18552.320817467586</v>
      </c>
      <c r="H54" s="1">
        <v>0</v>
      </c>
      <c r="I54" s="1">
        <v>5.6</v>
      </c>
      <c r="J54" s="1">
        <v>45.8</v>
      </c>
      <c r="K54" s="1">
        <v>3</v>
      </c>
      <c r="L54" s="1">
        <v>6</v>
      </c>
      <c r="M54" s="13">
        <v>4937786</v>
      </c>
      <c r="N54" s="1">
        <v>400000</v>
      </c>
      <c r="O54" s="1">
        <v>91607.39</v>
      </c>
    </row>
    <row r="55" spans="1:15" x14ac:dyDescent="0.3">
      <c r="A55" s="10" t="s">
        <v>67</v>
      </c>
      <c r="B55" s="10" t="s">
        <v>156</v>
      </c>
      <c r="C55" s="1">
        <v>1.7</v>
      </c>
      <c r="D55" s="1">
        <v>59200.2</v>
      </c>
      <c r="E55" s="36">
        <f t="shared" si="2"/>
        <v>2.9304630424653401E-2</v>
      </c>
      <c r="F55" s="1">
        <v>2</v>
      </c>
      <c r="G55" s="1">
        <f t="shared" si="3"/>
        <v>27460.695164442932</v>
      </c>
      <c r="H55" s="1">
        <v>0</v>
      </c>
      <c r="I55" s="1">
        <v>5.5</v>
      </c>
      <c r="J55" s="1">
        <v>45.9</v>
      </c>
      <c r="K55" s="1">
        <v>3.1</v>
      </c>
      <c r="L55" s="1">
        <v>6</v>
      </c>
      <c r="M55" s="13">
        <v>341243</v>
      </c>
      <c r="N55" s="1">
        <v>10000</v>
      </c>
      <c r="O55" s="1">
        <v>9370.77</v>
      </c>
    </row>
    <row r="56" spans="1:15" x14ac:dyDescent="0.3">
      <c r="A56" s="10" t="s">
        <v>68</v>
      </c>
      <c r="B56" s="10" t="s">
        <v>157</v>
      </c>
      <c r="C56" s="1">
        <v>2.9</v>
      </c>
      <c r="D56" s="1">
        <v>44846.8</v>
      </c>
      <c r="E56" s="36">
        <f t="shared" si="2"/>
        <v>3.234924242117905E-2</v>
      </c>
      <c r="F56" s="1">
        <v>4</v>
      </c>
      <c r="G56" s="1">
        <f t="shared" si="3"/>
        <v>18717.472692329244</v>
      </c>
      <c r="H56" s="1">
        <v>0</v>
      </c>
      <c r="I56" s="1">
        <v>4.3</v>
      </c>
      <c r="J56" s="1">
        <v>47.8</v>
      </c>
      <c r="K56" s="1">
        <v>3</v>
      </c>
      <c r="L56" s="1">
        <v>5</v>
      </c>
      <c r="M56" s="13">
        <v>8655535</v>
      </c>
      <c r="N56" s="1">
        <v>280000</v>
      </c>
      <c r="O56" s="1">
        <v>162009.74</v>
      </c>
    </row>
    <row r="57" spans="1:15" x14ac:dyDescent="0.3">
      <c r="A57" s="10" t="s">
        <v>69</v>
      </c>
      <c r="B57" s="10" t="s">
        <v>156</v>
      </c>
      <c r="C57" s="1">
        <v>1.2</v>
      </c>
      <c r="D57" s="1">
        <v>31911</v>
      </c>
      <c r="E57" s="36">
        <f t="shared" si="2"/>
        <v>0.1335998160347027</v>
      </c>
      <c r="F57" s="1">
        <v>3</v>
      </c>
      <c r="G57" s="1">
        <f t="shared" si="3"/>
        <v>21425.541540256774</v>
      </c>
      <c r="H57" s="1">
        <v>4</v>
      </c>
      <c r="I57" s="1">
        <v>9.1999999999999993</v>
      </c>
      <c r="J57" s="1">
        <v>42.4</v>
      </c>
      <c r="K57" s="1">
        <v>3.2</v>
      </c>
      <c r="L57" s="1">
        <v>6</v>
      </c>
      <c r="M57" s="13">
        <v>60628826</v>
      </c>
      <c r="N57" s="1">
        <v>8100000</v>
      </c>
      <c r="O57" s="1">
        <v>1299005.43</v>
      </c>
    </row>
    <row r="58" spans="1:15" x14ac:dyDescent="0.3">
      <c r="A58" s="10" t="s">
        <v>70</v>
      </c>
      <c r="B58" s="10" t="s">
        <v>159</v>
      </c>
      <c r="C58" s="1">
        <v>1.4</v>
      </c>
      <c r="D58" s="1">
        <v>4897.3</v>
      </c>
      <c r="E58" s="36">
        <f t="shared" si="2"/>
        <v>0.16885234773992822</v>
      </c>
      <c r="F58" s="1">
        <v>13</v>
      </c>
      <c r="G58" s="1">
        <f t="shared" si="3"/>
        <v>6523.0059635272173</v>
      </c>
      <c r="H58" s="1">
        <v>33</v>
      </c>
      <c r="I58" s="1">
        <v>9.5</v>
      </c>
      <c r="J58" s="1">
        <v>45.3</v>
      </c>
      <c r="K58" s="1">
        <v>1.7</v>
      </c>
      <c r="L58" s="1">
        <v>2</v>
      </c>
      <c r="M58" s="13">
        <v>2961167</v>
      </c>
      <c r="N58" s="1">
        <v>500000</v>
      </c>
      <c r="O58" s="1">
        <v>19315.71</v>
      </c>
    </row>
    <row r="59" spans="1:15" x14ac:dyDescent="0.3">
      <c r="A59" s="10" t="s">
        <v>71</v>
      </c>
      <c r="B59" s="10" t="s">
        <v>157</v>
      </c>
      <c r="C59" s="1">
        <v>1.3</v>
      </c>
      <c r="D59" s="1">
        <v>39918.199999999997</v>
      </c>
      <c r="E59" s="36">
        <f t="shared" si="2"/>
        <v>0.59236628077808418</v>
      </c>
      <c r="F59" s="1">
        <v>3</v>
      </c>
      <c r="G59" s="1">
        <f t="shared" si="3"/>
        <v>20146.801403089008</v>
      </c>
      <c r="H59" s="1">
        <v>2</v>
      </c>
      <c r="I59" s="1">
        <v>2.8</v>
      </c>
      <c r="J59" s="1">
        <v>44.4</v>
      </c>
      <c r="K59" s="1">
        <v>13.1</v>
      </c>
      <c r="L59" s="1">
        <v>4</v>
      </c>
      <c r="M59" s="14">
        <v>126239461</v>
      </c>
      <c r="N59" s="1">
        <v>74780000</v>
      </c>
      <c r="O59" s="1">
        <v>2543321.35</v>
      </c>
    </row>
    <row r="60" spans="1:15" x14ac:dyDescent="0.3">
      <c r="A60" s="10" t="s">
        <v>72</v>
      </c>
      <c r="B60" s="10" t="s">
        <v>157</v>
      </c>
      <c r="C60" s="1">
        <v>2.9</v>
      </c>
      <c r="D60" s="1">
        <v>4042.8</v>
      </c>
      <c r="E60" s="36">
        <f t="shared" si="2"/>
        <v>9.80091019092761E-4</v>
      </c>
      <c r="F60" s="1">
        <v>15</v>
      </c>
      <c r="G60" s="1">
        <f t="shared" si="3"/>
        <v>7857.6543246418205</v>
      </c>
      <c r="H60" s="1">
        <v>20</v>
      </c>
      <c r="I60" s="1">
        <v>19</v>
      </c>
      <c r="J60" s="1">
        <v>16.8</v>
      </c>
      <c r="K60" s="1">
        <v>1.5</v>
      </c>
      <c r="L60" s="1">
        <v>2</v>
      </c>
      <c r="M60" s="13">
        <v>10203134</v>
      </c>
      <c r="N60" s="1">
        <v>10000</v>
      </c>
      <c r="O60" s="1">
        <v>80172.7</v>
      </c>
    </row>
    <row r="61" spans="1:15" x14ac:dyDescent="0.3">
      <c r="A61" s="10" t="s">
        <v>73</v>
      </c>
      <c r="B61" s="10" t="s">
        <v>157</v>
      </c>
      <c r="C61" s="1">
        <v>3.1</v>
      </c>
      <c r="D61" s="1">
        <v>9121.6</v>
      </c>
      <c r="E61" s="36">
        <f t="shared" si="2"/>
        <v>3.8345381860621246E-2</v>
      </c>
      <c r="F61" s="1">
        <v>10</v>
      </c>
      <c r="G61" s="1">
        <f t="shared" si="3"/>
        <v>14113.150404913918</v>
      </c>
      <c r="H61" s="1">
        <v>10</v>
      </c>
      <c r="I61" s="1">
        <v>4.9000000000000004</v>
      </c>
      <c r="J61" s="1">
        <v>49</v>
      </c>
      <c r="K61" s="1">
        <v>6.1</v>
      </c>
      <c r="L61" s="1">
        <v>6</v>
      </c>
      <c r="M61" s="13">
        <v>18776707</v>
      </c>
      <c r="N61" s="1">
        <v>720000</v>
      </c>
      <c r="O61" s="1">
        <v>264998.49</v>
      </c>
    </row>
    <row r="62" spans="1:15" x14ac:dyDescent="0.3">
      <c r="A62" s="10" t="s">
        <v>74</v>
      </c>
      <c r="B62" s="10" t="s">
        <v>155</v>
      </c>
      <c r="C62" s="1">
        <v>3</v>
      </c>
      <c r="D62" s="1">
        <v>989.8</v>
      </c>
      <c r="E62" s="36">
        <f t="shared" si="2"/>
        <v>3.267594009846661E-2</v>
      </c>
      <c r="F62" s="1">
        <v>90</v>
      </c>
      <c r="G62" s="1">
        <f t="shared" si="3"/>
        <v>2522.134448423129</v>
      </c>
      <c r="H62" s="1">
        <v>8</v>
      </c>
      <c r="I62" s="1">
        <v>24.6</v>
      </c>
      <c r="J62" s="1">
        <v>44.8</v>
      </c>
      <c r="K62" s="1">
        <v>0.1</v>
      </c>
      <c r="L62" s="1">
        <v>4</v>
      </c>
      <c r="M62" s="13">
        <v>2142249</v>
      </c>
      <c r="N62" s="1">
        <v>70000</v>
      </c>
      <c r="O62" s="1">
        <v>5403.04</v>
      </c>
    </row>
    <row r="63" spans="1:15" x14ac:dyDescent="0.3">
      <c r="A63" s="10" t="s">
        <v>75</v>
      </c>
      <c r="B63" s="10" t="s">
        <v>156</v>
      </c>
      <c r="C63" s="1"/>
      <c r="D63" s="1">
        <v>18207.099999999999</v>
      </c>
      <c r="E63" s="36">
        <f t="shared" si="2"/>
        <v>0.50896035304883158</v>
      </c>
      <c r="F63" s="1">
        <v>4</v>
      </c>
      <c r="G63" s="1">
        <f t="shared" si="3"/>
        <v>15358.398216942231</v>
      </c>
      <c r="H63" s="1">
        <v>1</v>
      </c>
      <c r="I63" s="1">
        <v>8.1</v>
      </c>
      <c r="J63" s="1">
        <v>49.8</v>
      </c>
      <c r="K63" s="1">
        <v>5.6</v>
      </c>
      <c r="L63" s="1">
        <v>6</v>
      </c>
      <c r="M63" s="13">
        <v>1886198</v>
      </c>
      <c r="N63" s="1">
        <v>960000</v>
      </c>
      <c r="O63" s="1">
        <v>28968.98</v>
      </c>
    </row>
    <row r="64" spans="1:15" x14ac:dyDescent="0.3">
      <c r="A64" s="10" t="s">
        <v>76</v>
      </c>
      <c r="B64" s="10" t="s">
        <v>156</v>
      </c>
      <c r="C64" s="1">
        <v>1.5</v>
      </c>
      <c r="D64" s="1">
        <v>20339.5</v>
      </c>
      <c r="E64" s="36">
        <f t="shared" si="2"/>
        <v>0.11387475760288493</v>
      </c>
      <c r="F64" s="1">
        <v>3</v>
      </c>
      <c r="G64" s="1">
        <f t="shared" si="3"/>
        <v>20831.616334636037</v>
      </c>
      <c r="H64" s="1">
        <v>0</v>
      </c>
      <c r="I64" s="1">
        <v>8.5</v>
      </c>
      <c r="J64" s="1">
        <v>49.4</v>
      </c>
      <c r="K64" s="1">
        <v>6.6</v>
      </c>
      <c r="L64" s="1">
        <v>6</v>
      </c>
      <c r="M64" s="13">
        <v>2722289</v>
      </c>
      <c r="N64" s="1">
        <v>310000</v>
      </c>
      <c r="O64" s="1">
        <v>56709.68</v>
      </c>
    </row>
    <row r="65" spans="1:15" x14ac:dyDescent="0.3">
      <c r="A65" s="10" t="s">
        <v>77</v>
      </c>
      <c r="B65" s="10" t="s">
        <v>156</v>
      </c>
      <c r="C65" s="1">
        <v>1.4</v>
      </c>
      <c r="D65" s="1">
        <v>117370.5</v>
      </c>
      <c r="E65" s="36">
        <f t="shared" si="2"/>
        <v>0.22365003242925471</v>
      </c>
      <c r="F65" s="1">
        <v>3</v>
      </c>
      <c r="G65" s="1">
        <f t="shared" si="3"/>
        <v>32678.384863365805</v>
      </c>
      <c r="H65" s="1">
        <v>1</v>
      </c>
      <c r="I65" s="1">
        <v>6.8</v>
      </c>
      <c r="J65" s="1">
        <v>46.7</v>
      </c>
      <c r="K65" s="1">
        <v>4.7</v>
      </c>
      <c r="L65" s="1">
        <v>6</v>
      </c>
      <c r="M65" s="13">
        <v>625978</v>
      </c>
      <c r="N65" s="1">
        <v>140000</v>
      </c>
      <c r="O65" s="1">
        <v>20455.95</v>
      </c>
    </row>
    <row r="66" spans="1:15" x14ac:dyDescent="0.3">
      <c r="A66" s="10" t="s">
        <v>78</v>
      </c>
      <c r="B66" s="10" t="s">
        <v>156</v>
      </c>
      <c r="C66" s="1">
        <v>1.3</v>
      </c>
      <c r="D66" s="1">
        <v>5965.5</v>
      </c>
      <c r="E66" s="36">
        <f t="shared" ref="E66:E97" si="4">N66/M66</f>
        <v>1.4399718917486731E-2</v>
      </c>
      <c r="F66" s="1">
        <v>6</v>
      </c>
      <c r="G66" s="1">
        <f t="shared" ref="G66:G97" si="5">(O66*1000000)/M66</f>
        <v>9230.6278181449907</v>
      </c>
      <c r="H66" s="1">
        <v>5</v>
      </c>
      <c r="I66" s="1">
        <v>17.2</v>
      </c>
      <c r="J66" s="1">
        <v>40.299999999999997</v>
      </c>
      <c r="K66" s="1">
        <v>4.3</v>
      </c>
      <c r="L66" s="1">
        <v>6</v>
      </c>
      <c r="M66" s="13">
        <v>2083374</v>
      </c>
      <c r="N66" s="1">
        <v>30000</v>
      </c>
      <c r="O66" s="1">
        <v>19230.849999999999</v>
      </c>
    </row>
    <row r="67" spans="1:15" x14ac:dyDescent="0.3">
      <c r="A67" s="10" t="s">
        <v>79</v>
      </c>
      <c r="B67" s="10" t="s">
        <v>155</v>
      </c>
      <c r="C67" s="1">
        <v>3.9</v>
      </c>
      <c r="D67" s="1">
        <v>462.4</v>
      </c>
      <c r="E67" s="36">
        <f t="shared" si="4"/>
        <v>7.2586713857901511E-2</v>
      </c>
      <c r="F67" s="1">
        <v>50</v>
      </c>
      <c r="G67" s="1">
        <f t="shared" si="5"/>
        <v>1260.8951393552957</v>
      </c>
      <c r="H67" s="1">
        <v>2</v>
      </c>
      <c r="I67" s="1">
        <v>2.5</v>
      </c>
      <c r="J67" s="1">
        <v>48.3</v>
      </c>
      <c r="K67" s="1">
        <v>0.2</v>
      </c>
      <c r="L67" s="1">
        <v>0</v>
      </c>
      <c r="M67" s="13">
        <v>27691018</v>
      </c>
      <c r="N67" s="1">
        <v>2010000</v>
      </c>
      <c r="O67" s="1">
        <v>34915.47</v>
      </c>
    </row>
    <row r="68" spans="1:15" x14ac:dyDescent="0.3">
      <c r="A68" s="10" t="s">
        <v>80</v>
      </c>
      <c r="B68" s="10" t="s">
        <v>157</v>
      </c>
      <c r="C68" s="1">
        <v>1.8</v>
      </c>
      <c r="D68" s="1">
        <v>10160.799999999999</v>
      </c>
      <c r="E68" s="36">
        <f t="shared" si="4"/>
        <v>6.1793241728766045E-3</v>
      </c>
      <c r="F68" s="1">
        <v>9</v>
      </c>
      <c r="G68" s="1">
        <f t="shared" si="5"/>
        <v>16236.918254863691</v>
      </c>
      <c r="H68" s="1">
        <v>2</v>
      </c>
      <c r="I68" s="1">
        <v>4.5</v>
      </c>
      <c r="J68" s="1">
        <v>38.799999999999997</v>
      </c>
      <c r="K68" s="1">
        <v>1.9</v>
      </c>
      <c r="L68" s="1">
        <v>2</v>
      </c>
      <c r="M68" s="13">
        <v>32365999</v>
      </c>
      <c r="N68" s="1">
        <v>200000</v>
      </c>
      <c r="O68" s="1">
        <v>525524.07999999996</v>
      </c>
    </row>
    <row r="69" spans="1:15" x14ac:dyDescent="0.3">
      <c r="A69" s="10" t="s">
        <v>81</v>
      </c>
      <c r="B69" s="10" t="s">
        <v>157</v>
      </c>
      <c r="C69" s="1">
        <v>1.7</v>
      </c>
      <c r="D69" s="1">
        <v>7282.4</v>
      </c>
      <c r="E69" s="36">
        <f t="shared" si="4"/>
        <v>1.8499881600757755E-2</v>
      </c>
      <c r="F69" s="1">
        <v>7</v>
      </c>
      <c r="G69" s="1">
        <f t="shared" si="5"/>
        <v>5905.606204120294</v>
      </c>
      <c r="H69" s="1">
        <v>0</v>
      </c>
      <c r="I69" s="1">
        <v>6.3</v>
      </c>
      <c r="J69" s="1">
        <v>24.7</v>
      </c>
      <c r="K69" s="1">
        <v>4.3</v>
      </c>
      <c r="L69" s="1">
        <v>3</v>
      </c>
      <c r="M69" s="13">
        <v>540544</v>
      </c>
      <c r="N69" s="1">
        <v>10000</v>
      </c>
      <c r="O69" s="1">
        <v>3192.24</v>
      </c>
    </row>
    <row r="70" spans="1:15" x14ac:dyDescent="0.3">
      <c r="A70" s="10" t="s">
        <v>82</v>
      </c>
      <c r="B70" s="10" t="s">
        <v>155</v>
      </c>
      <c r="C70" s="1">
        <v>2.4</v>
      </c>
      <c r="D70" s="1">
        <v>3258.1</v>
      </c>
      <c r="E70" s="36">
        <f t="shared" si="4"/>
        <v>2.7092517696832561E-4</v>
      </c>
      <c r="F70" s="1">
        <v>19</v>
      </c>
      <c r="G70" s="1">
        <f t="shared" si="5"/>
        <v>4412.5610665348886</v>
      </c>
      <c r="H70" s="1">
        <v>0</v>
      </c>
      <c r="I70" s="1">
        <v>11.5</v>
      </c>
      <c r="J70" s="1">
        <v>25.2</v>
      </c>
      <c r="K70" s="1">
        <v>1</v>
      </c>
      <c r="L70" s="1">
        <v>2</v>
      </c>
      <c r="M70" s="13">
        <v>36910560</v>
      </c>
      <c r="N70" s="1">
        <v>10000</v>
      </c>
      <c r="O70" s="1">
        <v>162870.1</v>
      </c>
    </row>
    <row r="71" spans="1:15" x14ac:dyDescent="0.3">
      <c r="A71" s="10" t="s">
        <v>83</v>
      </c>
      <c r="B71" s="10" t="s">
        <v>155</v>
      </c>
      <c r="C71" s="1">
        <v>1.4</v>
      </c>
      <c r="D71" s="1">
        <v>9007.4</v>
      </c>
      <c r="E71" s="36">
        <f t="shared" si="4"/>
        <v>7.8630693648527091E-3</v>
      </c>
      <c r="F71" s="1">
        <v>17</v>
      </c>
      <c r="G71" s="1">
        <f t="shared" si="5"/>
        <v>14138.459215831819</v>
      </c>
      <c r="H71" s="1">
        <v>0</v>
      </c>
      <c r="I71" s="1">
        <v>7.4</v>
      </c>
      <c r="J71" s="1">
        <v>38.799999999999997</v>
      </c>
      <c r="K71" s="1">
        <v>3.4</v>
      </c>
      <c r="L71" s="1">
        <v>4</v>
      </c>
      <c r="M71" s="13">
        <v>1271768</v>
      </c>
      <c r="N71" s="1">
        <v>10000</v>
      </c>
      <c r="O71" s="1">
        <v>17980.84</v>
      </c>
    </row>
    <row r="72" spans="1:15" x14ac:dyDescent="0.3">
      <c r="A72" s="10" t="s">
        <v>84</v>
      </c>
      <c r="B72" s="10" t="s">
        <v>155</v>
      </c>
      <c r="C72" s="1">
        <v>4.5</v>
      </c>
      <c r="D72" s="1">
        <v>1868.5</v>
      </c>
      <c r="E72" s="36">
        <f t="shared" si="4"/>
        <v>2.1506958146169028E-3</v>
      </c>
      <c r="F72" s="1">
        <v>71</v>
      </c>
      <c r="G72" s="1">
        <f t="shared" si="5"/>
        <v>2833.4019405298195</v>
      </c>
      <c r="H72" s="1">
        <v>23</v>
      </c>
      <c r="I72" s="1">
        <v>11.3</v>
      </c>
      <c r="J72" s="1">
        <v>32</v>
      </c>
      <c r="K72" s="1">
        <v>0.2</v>
      </c>
      <c r="L72" s="1">
        <v>1</v>
      </c>
      <c r="M72" s="13">
        <v>4649658</v>
      </c>
      <c r="N72" s="1">
        <v>10000</v>
      </c>
      <c r="O72" s="1">
        <v>13174.35</v>
      </c>
    </row>
    <row r="73" spans="1:15" x14ac:dyDescent="0.3">
      <c r="A73" s="10" t="s">
        <v>85</v>
      </c>
      <c r="B73" s="10" t="s">
        <v>159</v>
      </c>
      <c r="C73" s="1">
        <v>1.9</v>
      </c>
      <c r="D73" s="1">
        <v>8655</v>
      </c>
      <c r="E73" s="36">
        <f t="shared" si="4"/>
        <v>5.6153303420116998E-2</v>
      </c>
      <c r="F73" s="1">
        <v>14</v>
      </c>
      <c r="G73" s="1">
        <f t="shared" si="5"/>
        <v>10666.215201346085</v>
      </c>
      <c r="H73" s="1">
        <v>1</v>
      </c>
      <c r="I73" s="1">
        <v>4.4000000000000004</v>
      </c>
      <c r="J73" s="1">
        <v>38</v>
      </c>
      <c r="K73" s="1">
        <v>1.5</v>
      </c>
      <c r="L73" s="1">
        <v>1</v>
      </c>
      <c r="M73" s="13">
        <v>128932753</v>
      </c>
      <c r="N73" s="1">
        <v>7240000</v>
      </c>
      <c r="O73" s="1">
        <v>1375224.49</v>
      </c>
    </row>
    <row r="74" spans="1:15" x14ac:dyDescent="0.3">
      <c r="A74" s="10" t="s">
        <v>86</v>
      </c>
      <c r="B74" s="10" t="s">
        <v>156</v>
      </c>
      <c r="C74" s="1">
        <v>1.8</v>
      </c>
      <c r="D74" s="1">
        <v>4500.6000000000004</v>
      </c>
      <c r="E74" s="36">
        <f t="shared" si="4"/>
        <v>9.9158073586693776E-3</v>
      </c>
      <c r="F74" s="1">
        <v>15</v>
      </c>
      <c r="G74" s="1">
        <f t="shared" si="5"/>
        <v>6134.6323702027012</v>
      </c>
      <c r="H74" s="1">
        <v>1</v>
      </c>
      <c r="I74" s="1">
        <v>3.8</v>
      </c>
      <c r="J74" s="1">
        <v>47.7</v>
      </c>
      <c r="K74" s="1">
        <v>5.8</v>
      </c>
      <c r="L74" s="1">
        <v>6</v>
      </c>
      <c r="M74" s="13">
        <v>4033963</v>
      </c>
      <c r="N74" s="1">
        <v>40000</v>
      </c>
      <c r="O74" s="1">
        <v>24746.880000000001</v>
      </c>
    </row>
    <row r="75" spans="1:15" x14ac:dyDescent="0.3">
      <c r="A75" s="10" t="s">
        <v>87</v>
      </c>
      <c r="B75" s="10" t="s">
        <v>157</v>
      </c>
      <c r="C75" s="1">
        <v>2.9</v>
      </c>
      <c r="D75" s="1">
        <v>4041.2</v>
      </c>
      <c r="E75" s="36">
        <f t="shared" si="4"/>
        <v>0.35384300961781906</v>
      </c>
      <c r="F75" s="1">
        <v>15</v>
      </c>
      <c r="G75" s="1">
        <f t="shared" si="5"/>
        <v>7018.7597802512892</v>
      </c>
      <c r="H75" s="1">
        <v>1</v>
      </c>
      <c r="I75" s="1">
        <v>7</v>
      </c>
      <c r="J75" s="1">
        <v>44.8</v>
      </c>
      <c r="K75" s="1">
        <v>8</v>
      </c>
      <c r="L75" s="1">
        <v>6</v>
      </c>
      <c r="M75" s="13">
        <v>3278290</v>
      </c>
      <c r="N75" s="1">
        <v>1160000</v>
      </c>
      <c r="O75" s="1">
        <v>23009.53</v>
      </c>
    </row>
    <row r="76" spans="1:15" x14ac:dyDescent="0.3">
      <c r="A76" s="10" t="s">
        <v>88</v>
      </c>
      <c r="B76" s="10" t="s">
        <v>156</v>
      </c>
      <c r="C76" s="1">
        <v>1.8</v>
      </c>
      <c r="D76" s="1">
        <v>7677.2</v>
      </c>
      <c r="E76" s="36">
        <f t="shared" si="4"/>
        <v>3.1843787117914357E-2</v>
      </c>
      <c r="F76" s="1">
        <v>2</v>
      </c>
      <c r="G76" s="1">
        <f t="shared" si="5"/>
        <v>12406.992258775352</v>
      </c>
      <c r="H76" s="1">
        <v>0</v>
      </c>
      <c r="I76" s="1">
        <v>17.899999999999999</v>
      </c>
      <c r="J76" s="1">
        <v>45.2</v>
      </c>
      <c r="K76" s="1">
        <v>3.9</v>
      </c>
      <c r="L76" s="1">
        <v>6</v>
      </c>
      <c r="M76" s="13">
        <v>628066</v>
      </c>
      <c r="N76" s="1">
        <v>20000</v>
      </c>
      <c r="O76" s="1">
        <v>7792.41</v>
      </c>
    </row>
    <row r="77" spans="1:15" x14ac:dyDescent="0.3">
      <c r="A77" s="10" t="s">
        <v>89</v>
      </c>
      <c r="B77" s="10" t="s">
        <v>155</v>
      </c>
      <c r="C77" s="1">
        <v>4.7</v>
      </c>
      <c r="D77" s="1">
        <v>450</v>
      </c>
      <c r="E77" s="36">
        <f t="shared" si="4"/>
        <v>0.16061206634942052</v>
      </c>
      <c r="F77" s="1">
        <v>71</v>
      </c>
      <c r="G77" s="1">
        <f t="shared" si="5"/>
        <v>894.30910176102168</v>
      </c>
      <c r="H77" s="1">
        <v>1</v>
      </c>
      <c r="I77" s="1">
        <v>3.8</v>
      </c>
      <c r="J77" s="1">
        <v>51.5</v>
      </c>
      <c r="K77" s="1">
        <v>0.7</v>
      </c>
      <c r="L77" s="1">
        <v>6</v>
      </c>
      <c r="M77" s="13">
        <v>31255435</v>
      </c>
      <c r="N77" s="1">
        <v>5020000</v>
      </c>
      <c r="O77" s="1">
        <v>27952.02</v>
      </c>
    </row>
    <row r="78" spans="1:15" x14ac:dyDescent="0.3">
      <c r="A78" s="10" t="s">
        <v>90</v>
      </c>
      <c r="B78" s="10" t="s">
        <v>155</v>
      </c>
      <c r="C78" s="1">
        <v>3.3</v>
      </c>
      <c r="D78" s="1">
        <v>4251.2</v>
      </c>
      <c r="E78" s="36">
        <f t="shared" si="4"/>
        <v>1.967802810415974E-2</v>
      </c>
      <c r="F78" s="1">
        <v>40</v>
      </c>
      <c r="G78" s="1">
        <f t="shared" si="5"/>
        <v>6461.6898309854168</v>
      </c>
      <c r="H78" s="1">
        <v>1</v>
      </c>
      <c r="I78" s="1">
        <v>21.4</v>
      </c>
      <c r="J78" s="1">
        <v>49.2</v>
      </c>
      <c r="K78" s="1">
        <v>2.7</v>
      </c>
      <c r="L78" s="1">
        <v>4</v>
      </c>
      <c r="M78" s="13">
        <v>2540905</v>
      </c>
      <c r="N78" s="1">
        <v>50000</v>
      </c>
      <c r="O78" s="1">
        <v>16418.54</v>
      </c>
    </row>
    <row r="79" spans="1:15" x14ac:dyDescent="0.3">
      <c r="A79" s="10" t="s">
        <v>91</v>
      </c>
      <c r="B79" s="10" t="s">
        <v>155</v>
      </c>
      <c r="C79" s="1">
        <v>6.9</v>
      </c>
      <c r="D79" s="1">
        <v>564.79999999999995</v>
      </c>
      <c r="E79" s="36">
        <f t="shared" si="4"/>
        <v>7.0228652926857598E-3</v>
      </c>
      <c r="F79" s="1">
        <v>78</v>
      </c>
      <c r="G79" s="1">
        <f t="shared" si="5"/>
        <v>970.51041028240013</v>
      </c>
      <c r="H79" s="1">
        <v>41</v>
      </c>
      <c r="I79" s="1">
        <v>0.6</v>
      </c>
      <c r="J79" s="1">
        <v>41.9</v>
      </c>
      <c r="K79" s="1">
        <v>0.4</v>
      </c>
      <c r="L79" s="1">
        <v>3</v>
      </c>
      <c r="M79" s="13">
        <v>24206644</v>
      </c>
      <c r="N79" s="1">
        <v>170000</v>
      </c>
      <c r="O79" s="1">
        <v>23492.799999999999</v>
      </c>
    </row>
    <row r="80" spans="1:15" x14ac:dyDescent="0.3">
      <c r="A80" s="10" t="s">
        <v>92</v>
      </c>
      <c r="B80" s="10" t="s">
        <v>156</v>
      </c>
      <c r="C80" s="1">
        <v>1.5</v>
      </c>
      <c r="D80" s="1">
        <v>67329.7</v>
      </c>
      <c r="E80" s="36">
        <f t="shared" si="4"/>
        <v>0.11067576593624966</v>
      </c>
      <c r="F80" s="1">
        <v>2</v>
      </c>
      <c r="G80" s="1">
        <f t="shared" si="5"/>
        <v>26000.44897469048</v>
      </c>
      <c r="H80" s="1">
        <v>0</v>
      </c>
      <c r="I80" s="1">
        <v>4.4000000000000004</v>
      </c>
      <c r="J80" s="1">
        <v>48.4</v>
      </c>
      <c r="K80" s="1">
        <v>3.6</v>
      </c>
      <c r="L80" s="1">
        <v>6</v>
      </c>
      <c r="M80" s="13">
        <v>5421241</v>
      </c>
      <c r="N80" s="1">
        <v>600000</v>
      </c>
      <c r="O80" s="1">
        <v>140954.70000000001</v>
      </c>
    </row>
    <row r="81" spans="1:15" x14ac:dyDescent="0.3">
      <c r="A81" s="10" t="s">
        <v>93</v>
      </c>
      <c r="B81" s="10" t="s">
        <v>158</v>
      </c>
      <c r="C81" s="1">
        <v>1.6</v>
      </c>
      <c r="D81" s="1">
        <v>41596.5</v>
      </c>
      <c r="E81" s="36">
        <f t="shared" si="4"/>
        <v>0.39608206405621627</v>
      </c>
      <c r="F81" s="1">
        <v>5</v>
      </c>
      <c r="G81" s="1">
        <f t="shared" si="5"/>
        <v>24139.05342193129</v>
      </c>
      <c r="H81" s="1">
        <v>0</v>
      </c>
      <c r="I81" s="1">
        <v>4.5999999999999996</v>
      </c>
      <c r="J81" s="1">
        <v>47.2</v>
      </c>
      <c r="K81" s="1">
        <v>2.7</v>
      </c>
      <c r="L81" s="1">
        <v>6</v>
      </c>
      <c r="M81" s="13">
        <v>4822233</v>
      </c>
      <c r="N81" s="1">
        <v>1910000</v>
      </c>
      <c r="O81" s="1">
        <v>116404.14</v>
      </c>
    </row>
    <row r="82" spans="1:15" x14ac:dyDescent="0.3">
      <c r="A82" s="10" t="s">
        <v>94</v>
      </c>
      <c r="B82" s="10" t="s">
        <v>157</v>
      </c>
      <c r="C82" s="1">
        <v>2.7</v>
      </c>
      <c r="D82" s="1">
        <v>16707.599999999999</v>
      </c>
      <c r="E82" s="36">
        <f t="shared" si="4"/>
        <v>1.95824013742146E-3</v>
      </c>
      <c r="F82" s="1">
        <v>11</v>
      </c>
      <c r="G82" s="1">
        <f t="shared" si="5"/>
        <v>12557.974678388431</v>
      </c>
      <c r="H82" s="1">
        <v>2</v>
      </c>
      <c r="I82" s="1">
        <v>2.9</v>
      </c>
      <c r="J82" s="1">
        <v>14.1</v>
      </c>
      <c r="K82" s="1">
        <v>1.5</v>
      </c>
      <c r="L82" s="1">
        <v>3</v>
      </c>
      <c r="M82" s="13">
        <v>5106626</v>
      </c>
      <c r="N82" s="1">
        <v>10000</v>
      </c>
      <c r="O82" s="1">
        <v>64128.88</v>
      </c>
    </row>
    <row r="83" spans="1:15" x14ac:dyDescent="0.3">
      <c r="A83" s="10" t="s">
        <v>95</v>
      </c>
      <c r="B83" s="10" t="s">
        <v>157</v>
      </c>
      <c r="C83" s="1">
        <v>2.9</v>
      </c>
      <c r="D83" s="1">
        <v>1749.7</v>
      </c>
      <c r="E83" s="36">
        <f t="shared" si="4"/>
        <v>7.1707712908490829E-3</v>
      </c>
      <c r="F83" s="1">
        <v>14</v>
      </c>
      <c r="G83" s="1">
        <f t="shared" si="5"/>
        <v>4786.2537987534388</v>
      </c>
      <c r="H83" s="1">
        <v>1</v>
      </c>
      <c r="I83" s="1">
        <v>7</v>
      </c>
      <c r="J83" s="1">
        <v>39.4</v>
      </c>
      <c r="K83" s="1">
        <v>4</v>
      </c>
      <c r="L83" s="1">
        <v>6</v>
      </c>
      <c r="M83" s="13">
        <v>33469203</v>
      </c>
      <c r="N83" s="1">
        <v>240000</v>
      </c>
      <c r="O83" s="1">
        <v>160192.1</v>
      </c>
    </row>
    <row r="84" spans="1:15" x14ac:dyDescent="0.3">
      <c r="A84" s="10" t="s">
        <v>96</v>
      </c>
      <c r="B84" s="10" t="s">
        <v>159</v>
      </c>
      <c r="C84" s="1">
        <v>2.2999999999999998</v>
      </c>
      <c r="D84" s="1">
        <v>12569.2</v>
      </c>
      <c r="E84" s="36">
        <f t="shared" si="4"/>
        <v>4.6352444987180073E-2</v>
      </c>
      <c r="F84" s="1">
        <v>14</v>
      </c>
      <c r="G84" s="1">
        <f t="shared" si="5"/>
        <v>14181.006761199387</v>
      </c>
      <c r="H84" s="1">
        <v>11</v>
      </c>
      <c r="I84" s="1">
        <v>12.9</v>
      </c>
      <c r="J84" s="1">
        <v>40.6</v>
      </c>
      <c r="K84" s="1">
        <v>2.2999999999999998</v>
      </c>
      <c r="L84" s="1">
        <v>3</v>
      </c>
      <c r="M84" s="13">
        <v>4314767</v>
      </c>
      <c r="N84" s="1">
        <v>200000</v>
      </c>
      <c r="O84" s="1">
        <v>61187.74</v>
      </c>
    </row>
    <row r="85" spans="1:15" x14ac:dyDescent="0.3">
      <c r="A85" s="10" t="s">
        <v>97</v>
      </c>
      <c r="B85" s="10" t="s">
        <v>156</v>
      </c>
      <c r="C85" s="1">
        <v>1.6</v>
      </c>
      <c r="D85" s="1">
        <v>52162.6</v>
      </c>
      <c r="E85" s="36">
        <f t="shared" si="4"/>
        <v>0.44062190835157683</v>
      </c>
      <c r="F85" s="1">
        <v>4</v>
      </c>
      <c r="G85" s="1">
        <f t="shared" si="5"/>
        <v>22602.804969888308</v>
      </c>
      <c r="H85" s="1">
        <v>0</v>
      </c>
      <c r="I85" s="1"/>
      <c r="J85" s="1">
        <v>46.9</v>
      </c>
      <c r="K85" s="1">
        <v>3.3</v>
      </c>
      <c r="L85" s="1">
        <v>6</v>
      </c>
      <c r="M85" s="13">
        <v>17134872</v>
      </c>
      <c r="N85" s="1">
        <v>7550000</v>
      </c>
      <c r="O85" s="1">
        <v>387296.17</v>
      </c>
    </row>
    <row r="86" spans="1:15" x14ac:dyDescent="0.3">
      <c r="A86" s="10" t="s">
        <v>98</v>
      </c>
      <c r="B86" s="10" t="s">
        <v>157</v>
      </c>
      <c r="C86" s="1">
        <v>2.8</v>
      </c>
      <c r="D86" s="1">
        <v>3224.4</v>
      </c>
      <c r="E86" s="36">
        <f t="shared" si="4"/>
        <v>1.0038229410373203E-3</v>
      </c>
      <c r="F86" s="1">
        <v>26</v>
      </c>
      <c r="G86" s="1">
        <f t="shared" si="5"/>
        <v>6064.4930870273056</v>
      </c>
      <c r="H86" s="1">
        <v>4</v>
      </c>
      <c r="I86" s="1">
        <v>2.5</v>
      </c>
      <c r="J86" s="1">
        <v>38.700000000000003</v>
      </c>
      <c r="K86" s="1">
        <v>1</v>
      </c>
      <c r="L86" s="1">
        <v>0</v>
      </c>
      <c r="M86" s="14">
        <v>109581078</v>
      </c>
      <c r="N86" s="1">
        <v>110000</v>
      </c>
      <c r="O86" s="1">
        <v>664553.68999999994</v>
      </c>
    </row>
    <row r="87" spans="1:15" x14ac:dyDescent="0.3">
      <c r="A87" s="10" t="s">
        <v>99</v>
      </c>
      <c r="B87" s="10" t="s">
        <v>156</v>
      </c>
      <c r="C87" s="1">
        <v>1.4</v>
      </c>
      <c r="D87" s="1">
        <v>15817</v>
      </c>
      <c r="E87" s="36">
        <f t="shared" si="4"/>
        <v>7.3454397277473535E-2</v>
      </c>
      <c r="F87" s="1">
        <v>4</v>
      </c>
      <c r="G87" s="1">
        <f t="shared" si="5"/>
        <v>18030.823948807465</v>
      </c>
      <c r="H87" s="1">
        <v>0</v>
      </c>
      <c r="I87" s="1">
        <v>3.2</v>
      </c>
      <c r="J87" s="1">
        <v>44.5</v>
      </c>
      <c r="K87" s="1">
        <v>6.6</v>
      </c>
      <c r="L87" s="1">
        <v>3</v>
      </c>
      <c r="M87" s="13">
        <v>37846611</v>
      </c>
      <c r="N87" s="1">
        <v>2780000</v>
      </c>
      <c r="O87" s="1">
        <v>682405.58</v>
      </c>
    </row>
    <row r="88" spans="1:15" x14ac:dyDescent="0.3">
      <c r="A88" s="10" t="s">
        <v>100</v>
      </c>
      <c r="B88" s="10" t="s">
        <v>156</v>
      </c>
      <c r="C88" s="1">
        <v>1.4</v>
      </c>
      <c r="D88" s="1">
        <v>22242.400000000001</v>
      </c>
      <c r="E88" s="36">
        <f t="shared" si="4"/>
        <v>8.728306358453497E-2</v>
      </c>
      <c r="F88" s="1">
        <v>3</v>
      </c>
      <c r="G88" s="1">
        <f t="shared" si="5"/>
        <v>19344.374738947634</v>
      </c>
      <c r="H88" s="1">
        <v>0</v>
      </c>
      <c r="I88" s="1">
        <v>6.8</v>
      </c>
      <c r="J88" s="1">
        <v>49.3</v>
      </c>
      <c r="K88" s="1">
        <v>3.4</v>
      </c>
      <c r="L88" s="1">
        <v>6</v>
      </c>
      <c r="M88" s="13">
        <v>10196709</v>
      </c>
      <c r="N88" s="1">
        <v>890000</v>
      </c>
      <c r="O88" s="1">
        <v>197248.96</v>
      </c>
    </row>
    <row r="89" spans="1:15" x14ac:dyDescent="0.3">
      <c r="A89" s="10" t="s">
        <v>101</v>
      </c>
      <c r="B89" s="10" t="s">
        <v>157</v>
      </c>
      <c r="C89" s="1">
        <v>1.8</v>
      </c>
      <c r="D89" s="1">
        <v>52315.7</v>
      </c>
      <c r="E89" s="36">
        <f t="shared" si="4"/>
        <v>6.941906309949869E-3</v>
      </c>
      <c r="F89" s="1">
        <v>6</v>
      </c>
      <c r="G89" s="1">
        <f t="shared" si="5"/>
        <v>17823.455521297248</v>
      </c>
      <c r="H89" s="1">
        <v>2</v>
      </c>
      <c r="I89" s="1">
        <v>0.2</v>
      </c>
      <c r="J89" s="1">
        <v>15.4</v>
      </c>
      <c r="K89" s="1">
        <v>1.3</v>
      </c>
      <c r="L89" s="1">
        <v>3</v>
      </c>
      <c r="M89" s="13">
        <v>2881053</v>
      </c>
      <c r="N89" s="1">
        <v>20000</v>
      </c>
      <c r="O89" s="1">
        <v>51350.32</v>
      </c>
    </row>
    <row r="90" spans="1:15" x14ac:dyDescent="0.3">
      <c r="A90" s="10" t="s">
        <v>102</v>
      </c>
      <c r="B90" s="10" t="s">
        <v>159</v>
      </c>
      <c r="C90" s="1">
        <v>2.2999999999999998</v>
      </c>
      <c r="D90" s="1">
        <v>7167.9</v>
      </c>
      <c r="E90" s="36">
        <f t="shared" si="4"/>
        <v>0.11338589645378695</v>
      </c>
      <c r="F90" s="1">
        <v>34</v>
      </c>
      <c r="G90" s="1">
        <f t="shared" si="5"/>
        <v>11327.126607798184</v>
      </c>
      <c r="H90" s="1">
        <v>4</v>
      </c>
      <c r="I90" s="1">
        <v>6.1</v>
      </c>
      <c r="J90" s="1">
        <v>39.299999999999997</v>
      </c>
      <c r="K90" s="1">
        <v>1.6</v>
      </c>
      <c r="L90" s="1">
        <v>0</v>
      </c>
      <c r="M90" s="13">
        <v>10847910</v>
      </c>
      <c r="N90" s="1">
        <v>1230000</v>
      </c>
      <c r="O90" s="1">
        <v>122875.65</v>
      </c>
    </row>
    <row r="91" spans="1:15" x14ac:dyDescent="0.3">
      <c r="A91" s="10" t="s">
        <v>103</v>
      </c>
      <c r="B91" s="10" t="s">
        <v>156</v>
      </c>
      <c r="C91" s="1">
        <v>1.7</v>
      </c>
      <c r="D91" s="1">
        <v>22992.9</v>
      </c>
      <c r="E91" s="36">
        <f t="shared" si="4"/>
        <v>0.77318280796277439</v>
      </c>
      <c r="F91" s="1">
        <v>3</v>
      </c>
      <c r="G91" s="1">
        <f t="shared" si="5"/>
        <v>16362.344839345593</v>
      </c>
      <c r="H91" s="1">
        <v>1</v>
      </c>
      <c r="I91" s="1">
        <v>2.5</v>
      </c>
      <c r="J91" s="1">
        <v>44.3</v>
      </c>
      <c r="K91" s="1">
        <v>6.6</v>
      </c>
      <c r="L91" s="1">
        <v>6</v>
      </c>
      <c r="M91" s="13">
        <v>10708981</v>
      </c>
      <c r="N91" s="1">
        <v>8280000</v>
      </c>
      <c r="O91" s="1">
        <v>175224.04</v>
      </c>
    </row>
    <row r="92" spans="1:15" x14ac:dyDescent="0.3">
      <c r="A92" s="10" t="s">
        <v>104</v>
      </c>
      <c r="B92" s="10" t="s">
        <v>156</v>
      </c>
      <c r="C92" s="1">
        <v>1.6</v>
      </c>
      <c r="D92" s="1">
        <v>13047.4</v>
      </c>
      <c r="E92" s="36">
        <f t="shared" si="4"/>
        <v>1.0396258054046091E-3</v>
      </c>
      <c r="F92" s="1">
        <v>7</v>
      </c>
      <c r="G92" s="1">
        <f t="shared" si="5"/>
        <v>17346.579171065801</v>
      </c>
      <c r="H92" s="1">
        <v>12</v>
      </c>
      <c r="I92" s="1">
        <v>5</v>
      </c>
      <c r="J92" s="1">
        <v>43</v>
      </c>
      <c r="K92" s="1">
        <v>6.9</v>
      </c>
      <c r="L92" s="1">
        <v>6</v>
      </c>
      <c r="M92" s="13">
        <v>19237691</v>
      </c>
      <c r="N92" s="1">
        <v>20000</v>
      </c>
      <c r="O92" s="1">
        <v>333708.13</v>
      </c>
    </row>
    <row r="93" spans="1:15" x14ac:dyDescent="0.3">
      <c r="A93" s="10" t="s">
        <v>105</v>
      </c>
      <c r="B93" s="10" t="s">
        <v>156</v>
      </c>
      <c r="C93" s="1">
        <v>1.6</v>
      </c>
      <c r="D93" s="1">
        <v>40318.6</v>
      </c>
      <c r="E93" s="36">
        <f t="shared" si="4"/>
        <v>0.29564264720164513</v>
      </c>
      <c r="F93" s="1">
        <v>4</v>
      </c>
      <c r="G93" s="1">
        <f t="shared" si="5"/>
        <v>24684.71980184548</v>
      </c>
      <c r="H93" s="1">
        <v>2</v>
      </c>
      <c r="I93" s="1">
        <v>4.5</v>
      </c>
      <c r="J93" s="1">
        <v>47.6</v>
      </c>
      <c r="K93" s="1">
        <v>2.5</v>
      </c>
      <c r="L93" s="1">
        <v>5</v>
      </c>
      <c r="M93" s="13">
        <v>67886011</v>
      </c>
      <c r="N93" s="1">
        <v>20070000</v>
      </c>
      <c r="O93" s="1">
        <v>1675747.16</v>
      </c>
    </row>
    <row r="94" spans="1:15" x14ac:dyDescent="0.3">
      <c r="A94" s="10" t="s">
        <v>106</v>
      </c>
      <c r="B94" s="10" t="s">
        <v>156</v>
      </c>
      <c r="C94" s="1">
        <v>1.5</v>
      </c>
      <c r="D94" s="1">
        <v>10169.1</v>
      </c>
      <c r="E94" s="36">
        <f t="shared" si="4"/>
        <v>0.15883842433324624</v>
      </c>
      <c r="F94" s="1">
        <v>5</v>
      </c>
      <c r="G94" s="1">
        <f t="shared" si="5"/>
        <v>14064.897981396609</v>
      </c>
      <c r="H94" s="1">
        <v>0</v>
      </c>
      <c r="I94" s="1">
        <v>5.6</v>
      </c>
      <c r="J94" s="1">
        <v>48.6</v>
      </c>
      <c r="K94" s="1">
        <v>8.1</v>
      </c>
      <c r="L94" s="1">
        <v>6</v>
      </c>
      <c r="M94" s="13">
        <v>145934462</v>
      </c>
      <c r="N94" s="1">
        <v>23180000</v>
      </c>
      <c r="O94" s="1">
        <v>2052553.32</v>
      </c>
    </row>
    <row r="95" spans="1:15" x14ac:dyDescent="0.3">
      <c r="A95" s="10" t="s">
        <v>107</v>
      </c>
      <c r="B95" s="10" t="s">
        <v>155</v>
      </c>
      <c r="C95" s="1">
        <v>3.9</v>
      </c>
      <c r="D95" s="1">
        <v>774.7</v>
      </c>
      <c r="E95" s="36">
        <f t="shared" si="4"/>
        <v>3.3198947083812207E-2</v>
      </c>
      <c r="F95" s="1">
        <v>41</v>
      </c>
      <c r="G95" s="1">
        <f t="shared" si="5"/>
        <v>1767.078040224462</v>
      </c>
      <c r="H95" s="1">
        <v>6</v>
      </c>
      <c r="I95" s="1">
        <v>1.5</v>
      </c>
      <c r="J95" s="1">
        <v>52.3</v>
      </c>
      <c r="K95" s="1">
        <v>0.15</v>
      </c>
      <c r="L95" s="1">
        <v>4</v>
      </c>
      <c r="M95" s="13">
        <v>12952218</v>
      </c>
      <c r="N95" s="1">
        <v>430000</v>
      </c>
      <c r="O95" s="1">
        <v>22887.58</v>
      </c>
    </row>
    <row r="96" spans="1:15" x14ac:dyDescent="0.3">
      <c r="A96" s="10" t="s">
        <v>108</v>
      </c>
      <c r="B96" s="10" t="s">
        <v>155</v>
      </c>
      <c r="C96" s="1">
        <v>4.5</v>
      </c>
      <c r="D96" s="1">
        <v>1490.2</v>
      </c>
      <c r="E96" s="36">
        <f t="shared" si="4"/>
        <v>5.972314618906306E-4</v>
      </c>
      <c r="F96" s="1">
        <v>38</v>
      </c>
      <c r="G96" s="1">
        <f t="shared" si="5"/>
        <v>2446.0886624744603</v>
      </c>
      <c r="H96" s="1">
        <v>25</v>
      </c>
      <c r="I96" s="1">
        <v>3.6</v>
      </c>
      <c r="J96" s="1">
        <v>39</v>
      </c>
      <c r="K96" s="1">
        <v>0.3</v>
      </c>
      <c r="L96" s="1">
        <v>1</v>
      </c>
      <c r="M96" s="13">
        <v>16743927</v>
      </c>
      <c r="N96" s="1">
        <v>10000</v>
      </c>
      <c r="O96" s="1">
        <v>40957.129999999997</v>
      </c>
    </row>
    <row r="97" spans="1:15" x14ac:dyDescent="0.3">
      <c r="A97" s="10" t="s">
        <v>109</v>
      </c>
      <c r="B97" s="10" t="s">
        <v>156</v>
      </c>
      <c r="C97" s="1">
        <v>1.5</v>
      </c>
      <c r="D97" s="1">
        <v>7733.8</v>
      </c>
      <c r="E97" s="36">
        <f t="shared" si="4"/>
        <v>2.9757234756312853E-2</v>
      </c>
      <c r="F97" s="1">
        <v>6</v>
      </c>
      <c r="G97" s="1">
        <f t="shared" si="5"/>
        <v>8357.7668843408392</v>
      </c>
      <c r="H97" s="1">
        <v>3</v>
      </c>
      <c r="I97" s="1">
        <v>9</v>
      </c>
      <c r="J97" s="1">
        <v>45.4</v>
      </c>
      <c r="K97" s="1">
        <v>5.6</v>
      </c>
      <c r="L97" s="1">
        <v>6</v>
      </c>
      <c r="M97" s="13">
        <v>8737371</v>
      </c>
      <c r="N97" s="1">
        <v>260000</v>
      </c>
      <c r="O97" s="1">
        <v>73024.91</v>
      </c>
    </row>
    <row r="98" spans="1:15" x14ac:dyDescent="0.3">
      <c r="A98" s="10" t="s">
        <v>110</v>
      </c>
      <c r="B98" s="10" t="s">
        <v>157</v>
      </c>
      <c r="C98" s="1">
        <v>1.1000000000000001</v>
      </c>
      <c r="D98" s="1">
        <v>60729.5</v>
      </c>
      <c r="E98" s="36">
        <f t="shared" ref="E98:E108" si="6">N98/M98</f>
        <v>0.16580227275602008</v>
      </c>
      <c r="F98" s="1">
        <v>2</v>
      </c>
      <c r="G98" s="1">
        <f t="shared" ref="G98:G108" si="7">(O98*1000000)/M98</f>
        <v>25744.652192982907</v>
      </c>
      <c r="H98" s="1">
        <v>0</v>
      </c>
      <c r="I98" s="1"/>
      <c r="J98" s="1">
        <v>41.3</v>
      </c>
      <c r="K98" s="1">
        <v>2.5</v>
      </c>
      <c r="L98" s="1">
        <v>6</v>
      </c>
      <c r="M98" s="13">
        <v>5850342</v>
      </c>
      <c r="N98" s="1">
        <v>970000</v>
      </c>
      <c r="O98" s="1">
        <v>150615.01999999999</v>
      </c>
    </row>
    <row r="99" spans="1:15" x14ac:dyDescent="0.3">
      <c r="A99" s="10" t="s">
        <v>111</v>
      </c>
      <c r="B99" s="10" t="s">
        <v>156</v>
      </c>
      <c r="C99" s="1">
        <v>1.6</v>
      </c>
      <c r="D99" s="1">
        <v>19545.7</v>
      </c>
      <c r="E99" s="36">
        <f t="shared" si="6"/>
        <v>0.16118272956358676</v>
      </c>
      <c r="F99" s="1">
        <v>6</v>
      </c>
      <c r="G99" s="1">
        <f t="shared" si="7"/>
        <v>15000.386472226568</v>
      </c>
      <c r="H99" s="1">
        <v>3</v>
      </c>
      <c r="I99" s="1">
        <v>6.7</v>
      </c>
      <c r="J99" s="1">
        <v>45.4</v>
      </c>
      <c r="K99" s="1">
        <v>5.8</v>
      </c>
      <c r="L99" s="1">
        <v>6</v>
      </c>
      <c r="M99" s="13">
        <v>5459642</v>
      </c>
      <c r="N99" s="1">
        <v>880000</v>
      </c>
      <c r="O99" s="1">
        <v>81896.740000000005</v>
      </c>
    </row>
    <row r="100" spans="1:15" x14ac:dyDescent="0.3">
      <c r="A100" s="10" t="s">
        <v>112</v>
      </c>
      <c r="B100" s="10" t="s">
        <v>156</v>
      </c>
      <c r="C100" s="1">
        <v>1.6</v>
      </c>
      <c r="D100" s="1">
        <v>25545.200000000001</v>
      </c>
      <c r="E100" s="36">
        <f t="shared" si="6"/>
        <v>0.18278563381880555</v>
      </c>
      <c r="F100" s="1">
        <v>2</v>
      </c>
      <c r="G100" s="1">
        <f t="shared" si="7"/>
        <v>17739.057153219575</v>
      </c>
      <c r="H100" s="1">
        <v>0</v>
      </c>
      <c r="I100" s="1">
        <v>5</v>
      </c>
      <c r="J100" s="1">
        <v>46.1</v>
      </c>
      <c r="K100" s="1">
        <v>4.5</v>
      </c>
      <c r="L100" s="1">
        <v>6</v>
      </c>
      <c r="M100" s="13">
        <v>2078938</v>
      </c>
      <c r="N100" s="1">
        <v>380000</v>
      </c>
      <c r="O100" s="1">
        <v>36878.400000000001</v>
      </c>
    </row>
    <row r="101" spans="1:15" x14ac:dyDescent="0.3">
      <c r="A101" s="10" t="s">
        <v>113</v>
      </c>
      <c r="B101" s="10" t="s">
        <v>156</v>
      </c>
      <c r="C101" s="1">
        <v>1.7</v>
      </c>
      <c r="D101" s="1">
        <v>52837.9</v>
      </c>
      <c r="E101" s="36">
        <f t="shared" si="6"/>
        <v>0.28318892513465088</v>
      </c>
      <c r="F101" s="1">
        <v>3</v>
      </c>
      <c r="G101" s="1">
        <f t="shared" si="7"/>
        <v>22987.164907545251</v>
      </c>
      <c r="H101" s="1">
        <v>0</v>
      </c>
      <c r="I101" s="1">
        <v>8.3000000000000007</v>
      </c>
      <c r="J101" s="1">
        <v>47</v>
      </c>
      <c r="K101" s="1">
        <v>2.2000000000000002</v>
      </c>
      <c r="L101" s="1">
        <v>6</v>
      </c>
      <c r="M101" s="13">
        <v>10099265</v>
      </c>
      <c r="N101" s="1">
        <v>2860000</v>
      </c>
      <c r="O101" s="1">
        <v>232153.47</v>
      </c>
    </row>
    <row r="102" spans="1:15" x14ac:dyDescent="0.3">
      <c r="A102" s="10" t="s">
        <v>114</v>
      </c>
      <c r="B102" s="10" t="s">
        <v>156</v>
      </c>
      <c r="C102" s="1">
        <v>1.5</v>
      </c>
      <c r="D102" s="1">
        <v>85656.3</v>
      </c>
      <c r="E102" s="36">
        <f t="shared" si="6"/>
        <v>0.2079813537783626</v>
      </c>
      <c r="F102" s="1">
        <v>4</v>
      </c>
      <c r="G102" s="1">
        <f t="shared" si="7"/>
        <v>31447.670389301809</v>
      </c>
      <c r="H102" s="1">
        <v>0</v>
      </c>
      <c r="I102" s="1">
        <v>4.8</v>
      </c>
      <c r="J102" s="1">
        <v>46.7</v>
      </c>
      <c r="K102" s="1">
        <v>4.7</v>
      </c>
      <c r="L102" s="1">
        <v>6</v>
      </c>
      <c r="M102" s="13">
        <v>8654622</v>
      </c>
      <c r="N102" s="1">
        <v>1800000</v>
      </c>
      <c r="O102" s="1">
        <v>272167.7</v>
      </c>
    </row>
    <row r="103" spans="1:15" x14ac:dyDescent="0.3">
      <c r="A103" s="10" t="s">
        <v>115</v>
      </c>
      <c r="B103" s="10" t="s">
        <v>155</v>
      </c>
      <c r="C103" s="1">
        <v>4.8</v>
      </c>
      <c r="D103" s="1">
        <v>1042.0999999999999</v>
      </c>
      <c r="E103" s="36">
        <f t="shared" si="6"/>
        <v>1.6740823492491355E-2</v>
      </c>
      <c r="F103" s="1">
        <v>49</v>
      </c>
      <c r="G103" s="1">
        <f t="shared" si="7"/>
        <v>1751.6231651345968</v>
      </c>
      <c r="H103" s="1">
        <v>16</v>
      </c>
      <c r="I103" s="1"/>
      <c r="J103" s="1">
        <v>49.2</v>
      </c>
      <c r="K103" s="1">
        <v>0.7</v>
      </c>
      <c r="L103" s="1">
        <v>2</v>
      </c>
      <c r="M103" s="13">
        <v>59734218</v>
      </c>
      <c r="N103" s="1">
        <v>1000000</v>
      </c>
      <c r="O103" s="1">
        <v>104631.84</v>
      </c>
    </row>
    <row r="104" spans="1:15" x14ac:dyDescent="0.3">
      <c r="A104" s="10" t="s">
        <v>116</v>
      </c>
      <c r="B104" s="10" t="s">
        <v>155</v>
      </c>
      <c r="C104" s="1">
        <v>6.3</v>
      </c>
      <c r="D104" s="1">
        <v>643.79999999999995</v>
      </c>
      <c r="E104" s="36">
        <f t="shared" si="6"/>
        <v>2.1307859361309699E-2</v>
      </c>
      <c r="F104" s="1">
        <v>110</v>
      </c>
      <c r="G104" s="1">
        <f t="shared" si="7"/>
        <v>1391.9407831454103</v>
      </c>
      <c r="H104" s="1">
        <v>26</v>
      </c>
      <c r="I104" s="1">
        <v>1.7</v>
      </c>
      <c r="J104" s="1">
        <v>40.4</v>
      </c>
      <c r="K104" s="1">
        <v>0.1</v>
      </c>
      <c r="L104" s="1">
        <v>4</v>
      </c>
      <c r="M104" s="13">
        <v>16425864</v>
      </c>
      <c r="N104" s="1">
        <v>350000</v>
      </c>
      <c r="O104" s="1">
        <v>22863.83</v>
      </c>
    </row>
    <row r="105" spans="1:15" x14ac:dyDescent="0.3">
      <c r="A105" s="10" t="s">
        <v>117</v>
      </c>
      <c r="B105" s="10" t="s">
        <v>157</v>
      </c>
      <c r="C105" s="1">
        <v>1.3</v>
      </c>
      <c r="D105" s="1">
        <v>6990.9</v>
      </c>
      <c r="E105" s="36">
        <f t="shared" si="6"/>
        <v>2.8653304160067214E-3</v>
      </c>
      <c r="F105" s="1">
        <v>9</v>
      </c>
      <c r="G105" s="1">
        <f t="shared" si="7"/>
        <v>9365.0065333831481</v>
      </c>
      <c r="H105" s="1">
        <v>3</v>
      </c>
      <c r="I105" s="1">
        <v>1.1000000000000001</v>
      </c>
      <c r="J105" s="1">
        <v>45.8</v>
      </c>
      <c r="K105" s="1">
        <v>2.1</v>
      </c>
      <c r="L105" s="1">
        <v>6</v>
      </c>
      <c r="M105" s="13">
        <v>69799978</v>
      </c>
      <c r="N105" s="1">
        <v>200000</v>
      </c>
      <c r="O105" s="1">
        <v>653677.25</v>
      </c>
    </row>
    <row r="106" spans="1:15" x14ac:dyDescent="0.3">
      <c r="A106" s="10" t="s">
        <v>118</v>
      </c>
      <c r="B106" s="10" t="s">
        <v>155</v>
      </c>
      <c r="C106" s="1">
        <v>4.3</v>
      </c>
      <c r="D106" s="1">
        <v>897.2</v>
      </c>
      <c r="E106" s="36">
        <f t="shared" si="6"/>
        <v>5.4356202719162999E-2</v>
      </c>
      <c r="F106" s="1">
        <v>64</v>
      </c>
      <c r="G106" s="1">
        <f t="shared" si="7"/>
        <v>1569.7358675080845</v>
      </c>
      <c r="H106" s="1">
        <v>1</v>
      </c>
      <c r="I106" s="1">
        <v>3.9</v>
      </c>
      <c r="J106" s="1">
        <v>48.3</v>
      </c>
      <c r="K106" s="1">
        <v>0.7</v>
      </c>
      <c r="L106" s="1">
        <v>4</v>
      </c>
      <c r="M106" s="13">
        <v>8278724</v>
      </c>
      <c r="N106" s="1">
        <v>450000</v>
      </c>
      <c r="O106" s="1">
        <v>12995.41</v>
      </c>
    </row>
    <row r="107" spans="1:15" x14ac:dyDescent="0.3">
      <c r="A107" s="10" t="s">
        <v>119</v>
      </c>
      <c r="B107" s="10" t="s">
        <v>155</v>
      </c>
      <c r="C107" s="1">
        <v>3.3</v>
      </c>
      <c r="D107" s="1">
        <v>4606.1000000000004</v>
      </c>
      <c r="E107" s="36">
        <f t="shared" si="6"/>
        <v>9.4611854865414638E-2</v>
      </c>
      <c r="F107" s="1">
        <v>11</v>
      </c>
      <c r="G107" s="1">
        <f t="shared" si="7"/>
        <v>5689.6731160414402</v>
      </c>
      <c r="H107" s="1">
        <v>1</v>
      </c>
      <c r="I107" s="1">
        <v>3.6</v>
      </c>
      <c r="J107" s="1">
        <v>41.9</v>
      </c>
      <c r="K107" s="1">
        <v>2.6</v>
      </c>
      <c r="L107" s="1">
        <v>1</v>
      </c>
      <c r="M107" s="13">
        <v>105695</v>
      </c>
      <c r="N107" s="1">
        <v>10000</v>
      </c>
      <c r="O107" s="1">
        <v>601.37</v>
      </c>
    </row>
    <row r="108" spans="1:15" x14ac:dyDescent="0.3">
      <c r="A108" s="9" t="s">
        <v>120</v>
      </c>
      <c r="B108" s="9" t="s">
        <v>157</v>
      </c>
      <c r="C108" s="9">
        <v>1.9</v>
      </c>
      <c r="D108" s="9">
        <v>8561.1</v>
      </c>
      <c r="E108" s="37">
        <f t="shared" si="6"/>
        <v>1.1382625325935845E-2</v>
      </c>
      <c r="F108" s="9">
        <v>10</v>
      </c>
      <c r="G108" s="9">
        <f t="shared" si="7"/>
        <v>13064.693613459111</v>
      </c>
      <c r="H108" s="9">
        <v>5</v>
      </c>
      <c r="I108" s="9">
        <v>13.1</v>
      </c>
      <c r="J108" s="9">
        <v>31.6</v>
      </c>
      <c r="K108" s="9">
        <v>2.8</v>
      </c>
      <c r="L108" s="9">
        <v>6</v>
      </c>
      <c r="M108" s="15">
        <v>84339067</v>
      </c>
      <c r="N108" s="9">
        <v>960000</v>
      </c>
      <c r="O108" s="9">
        <v>1101864.07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306"/>
  <sheetViews>
    <sheetView topLeftCell="A96" workbookViewId="0">
      <selection activeCell="J109" sqref="J109"/>
    </sheetView>
  </sheetViews>
  <sheetFormatPr baseColWidth="10" defaultColWidth="11.44140625" defaultRowHeight="14.4" x14ac:dyDescent="0.3"/>
  <cols>
    <col min="1" max="1" width="31.109375" customWidth="1"/>
    <col min="2" max="8" width="11" customWidth="1"/>
  </cols>
  <sheetData>
    <row r="2" spans="2:25" x14ac:dyDescent="0.3">
      <c r="B2" s="22" t="s">
        <v>121</v>
      </c>
      <c r="C2" s="23" t="s">
        <v>122</v>
      </c>
      <c r="D2" s="24" t="s">
        <v>123</v>
      </c>
      <c r="E2" s="23" t="s">
        <v>124</v>
      </c>
      <c r="F2" s="24" t="s">
        <v>125</v>
      </c>
      <c r="G2" s="24" t="s">
        <v>126</v>
      </c>
      <c r="H2" s="25" t="s">
        <v>127</v>
      </c>
      <c r="I2" s="22" t="s">
        <v>128</v>
      </c>
      <c r="J2" s="26"/>
      <c r="K2" s="23" t="s">
        <v>129</v>
      </c>
      <c r="L2" s="24" t="s">
        <v>130</v>
      </c>
      <c r="M2" s="23" t="s">
        <v>131</v>
      </c>
      <c r="N2" s="24" t="s">
        <v>132</v>
      </c>
      <c r="O2" s="24" t="s">
        <v>133</v>
      </c>
      <c r="P2" s="25" t="s">
        <v>134</v>
      </c>
      <c r="Q2" s="22" t="s">
        <v>135</v>
      </c>
      <c r="S2" s="23" t="s">
        <v>136</v>
      </c>
      <c r="T2" s="24" t="s">
        <v>137</v>
      </c>
      <c r="U2" s="23" t="s">
        <v>138</v>
      </c>
      <c r="V2" s="24" t="s">
        <v>139</v>
      </c>
      <c r="W2" s="24" t="s">
        <v>140</v>
      </c>
      <c r="X2" s="25" t="s">
        <v>141</v>
      </c>
      <c r="Y2" s="22" t="s">
        <v>142</v>
      </c>
    </row>
    <row r="3" spans="2:25" x14ac:dyDescent="0.3">
      <c r="B3" s="1">
        <v>2.4</v>
      </c>
      <c r="C3" s="1">
        <v>32</v>
      </c>
      <c r="D3" s="12">
        <v>45.6</v>
      </c>
      <c r="E3" s="2">
        <f>C200/B200</f>
        <v>0.13859689027021166</v>
      </c>
      <c r="F3" s="1">
        <v>12</v>
      </c>
      <c r="G3" s="1">
        <v>29.2</v>
      </c>
      <c r="H3" s="3">
        <f>IF(F3&gt;3,0,1)</f>
        <v>0</v>
      </c>
      <c r="I3" s="1">
        <f>D200*1000000/B200</f>
        <v>8408.6906994573637</v>
      </c>
      <c r="K3" s="1">
        <f>C3-$C$109</f>
        <v>11.481132075471699</v>
      </c>
      <c r="L3" s="1">
        <f>D3-$D$109</f>
        <v>4.0169811320754647</v>
      </c>
      <c r="M3" s="2">
        <f>E3-$E$109</f>
        <v>3.2104737515452633E-2</v>
      </c>
      <c r="N3" s="1">
        <f>F3-$F$109</f>
        <v>6.8301886792452828</v>
      </c>
      <c r="O3" s="1">
        <f>G3-$G$109</f>
        <v>21.391509433962263</v>
      </c>
      <c r="P3" s="1">
        <f>H3-$H$109</f>
        <v>-0.62264150943396224</v>
      </c>
      <c r="Q3" s="1">
        <f>I3-$I$109</f>
        <v>-4109.6993972225482</v>
      </c>
      <c r="S3" s="1">
        <f t="shared" ref="S3:Y3" si="0">K3^2</f>
        <v>131.81639373442508</v>
      </c>
      <c r="T3" s="1">
        <f t="shared" si="0"/>
        <v>16.136137415450282</v>
      </c>
      <c r="U3" s="2">
        <f t="shared" si="0"/>
        <v>1.0307141709361117E-3</v>
      </c>
      <c r="V3" s="1">
        <f t="shared" si="0"/>
        <v>46.651477394090421</v>
      </c>
      <c r="W3" s="1">
        <f t="shared" si="0"/>
        <v>457.59667586329647</v>
      </c>
      <c r="X3" s="1">
        <f t="shared" si="0"/>
        <v>0.3876824492702029</v>
      </c>
      <c r="Y3" s="1">
        <f t="shared" si="0"/>
        <v>16889629.135531377</v>
      </c>
    </row>
    <row r="4" spans="2:25" x14ac:dyDescent="0.3">
      <c r="B4" s="1">
        <v>1.4</v>
      </c>
      <c r="C4" s="1">
        <v>10</v>
      </c>
      <c r="D4" s="1">
        <v>43.2</v>
      </c>
      <c r="E4" s="2">
        <f t="shared" ref="E4:E67" si="1">C201/B201</f>
        <v>1.0424640792939878E-2</v>
      </c>
      <c r="F4" s="1">
        <v>4</v>
      </c>
      <c r="G4" s="1">
        <v>13.3</v>
      </c>
      <c r="H4" s="3">
        <f t="shared" ref="H4:H67" si="2">IF(F4&gt;3,0,1)</f>
        <v>0</v>
      </c>
      <c r="I4" s="1">
        <f t="shared" ref="I4:I67" si="3">D201*1000000/B201</f>
        <v>8587.1449584525944</v>
      </c>
      <c r="K4" s="1">
        <f>C4-$C$109</f>
        <v>-10.518867924528301</v>
      </c>
      <c r="L4" s="1">
        <f t="shared" ref="L4:L67" si="4">D4-$D$109</f>
        <v>1.6169811320754661</v>
      </c>
      <c r="M4" s="2">
        <f t="shared" ref="M4:M67" si="5">E4-$E$109</f>
        <v>-9.6067511961819146E-2</v>
      </c>
      <c r="N4" s="1">
        <f t="shared" ref="N4:N67" si="6">F4-$F$109</f>
        <v>-1.1698113207547172</v>
      </c>
      <c r="O4" s="1">
        <f t="shared" ref="O4:O67" si="7">G4-$G$109</f>
        <v>5.4915094339622659</v>
      </c>
      <c r="P4" s="1">
        <f t="shared" ref="P4:P67" si="8">H4-$H$109</f>
        <v>-0.62264150943396224</v>
      </c>
      <c r="Q4" s="1">
        <f t="shared" ref="Q4:Q67" si="9">I4-$I$109</f>
        <v>-3931.2451382273175</v>
      </c>
      <c r="S4" s="1">
        <f t="shared" ref="S4:S67" si="10">K4^2</f>
        <v>110.64658241367033</v>
      </c>
      <c r="T4" s="1">
        <f t="shared" ref="T4:T67" si="11">L4^2</f>
        <v>2.6146279814880562</v>
      </c>
      <c r="U4" s="2">
        <f t="shared" ref="U4:U67" si="12">M4^2</f>
        <v>9.2289668545342644E-3</v>
      </c>
      <c r="V4" s="1">
        <f t="shared" ref="V4:V67" si="13">N4^2</f>
        <v>1.3684585261658957</v>
      </c>
      <c r="W4" s="1">
        <f t="shared" ref="W4:W67" si="14">O4^2</f>
        <v>30.156675863296567</v>
      </c>
      <c r="X4" s="1">
        <f t="shared" ref="X4:X67" si="15">P4^2</f>
        <v>0.3876824492702029</v>
      </c>
      <c r="Y4" s="1">
        <f t="shared" ref="Y4:Y67" si="16">Q4^2</f>
        <v>15454688.336835921</v>
      </c>
    </row>
    <row r="5" spans="2:25" x14ac:dyDescent="0.3">
      <c r="B5" s="1">
        <v>2.9</v>
      </c>
      <c r="C5" s="1">
        <v>23</v>
      </c>
      <c r="D5" s="1">
        <v>19</v>
      </c>
      <c r="E5" s="2">
        <f t="shared" si="1"/>
        <v>1.6875310881994052E-2</v>
      </c>
      <c r="F5" s="1">
        <v>0</v>
      </c>
      <c r="G5" s="1">
        <v>12.6</v>
      </c>
      <c r="H5" s="3">
        <f t="shared" si="2"/>
        <v>1</v>
      </c>
      <c r="I5" s="1">
        <f t="shared" si="3"/>
        <v>5109.9273713985012</v>
      </c>
      <c r="K5" s="1">
        <f t="shared" ref="K5:K68" si="17">C5-$C$109</f>
        <v>2.4811320754716988</v>
      </c>
      <c r="L5" s="1">
        <f t="shared" si="4"/>
        <v>-22.583018867924537</v>
      </c>
      <c r="M5" s="2">
        <f t="shared" si="5"/>
        <v>-8.9616841872764974E-2</v>
      </c>
      <c r="N5" s="1">
        <f t="shared" si="6"/>
        <v>-5.1698113207547172</v>
      </c>
      <c r="O5" s="1">
        <f t="shared" si="7"/>
        <v>4.7915094339622648</v>
      </c>
      <c r="P5" s="1">
        <f t="shared" si="8"/>
        <v>0.37735849056603776</v>
      </c>
      <c r="Q5" s="1">
        <f t="shared" si="9"/>
        <v>-7408.4627252814107</v>
      </c>
      <c r="S5" s="1">
        <f t="shared" si="10"/>
        <v>6.1560163759344997</v>
      </c>
      <c r="T5" s="1">
        <f t="shared" si="11"/>
        <v>509.9927411890356</v>
      </c>
      <c r="U5" s="2">
        <f t="shared" si="12"/>
        <v>8.0311783472481624E-3</v>
      </c>
      <c r="V5" s="1">
        <f t="shared" si="13"/>
        <v>26.726949092203633</v>
      </c>
      <c r="W5" s="1">
        <f t="shared" si="14"/>
        <v>22.958562655749382</v>
      </c>
      <c r="X5" s="1">
        <f t="shared" si="15"/>
        <v>0.1423994304022784</v>
      </c>
      <c r="Y5" s="1">
        <f t="shared" si="16"/>
        <v>54885319.951884069</v>
      </c>
    </row>
    <row r="6" spans="2:25" x14ac:dyDescent="0.3">
      <c r="B6" s="1">
        <v>1.5</v>
      </c>
      <c r="C6" s="1">
        <v>4</v>
      </c>
      <c r="D6" s="1">
        <v>47</v>
      </c>
      <c r="E6" s="2">
        <f t="shared" si="1"/>
        <v>0.2524350071759574</v>
      </c>
      <c r="F6" s="1">
        <v>2</v>
      </c>
      <c r="G6" s="1">
        <v>3.8</v>
      </c>
      <c r="H6" s="3">
        <f t="shared" si="2"/>
        <v>1</v>
      </c>
      <c r="I6" s="1">
        <f t="shared" si="3"/>
        <v>26172.542347076484</v>
      </c>
      <c r="K6" s="1">
        <f t="shared" si="17"/>
        <v>-16.518867924528301</v>
      </c>
      <c r="L6" s="1">
        <f t="shared" si="4"/>
        <v>5.4169811320754633</v>
      </c>
      <c r="M6" s="2">
        <f t="shared" si="5"/>
        <v>0.14594285442119836</v>
      </c>
      <c r="N6" s="1">
        <f t="shared" si="6"/>
        <v>-3.1698113207547172</v>
      </c>
      <c r="O6" s="1">
        <f t="shared" si="7"/>
        <v>-4.008490566037735</v>
      </c>
      <c r="P6" s="1">
        <f t="shared" si="8"/>
        <v>0.37735849056603776</v>
      </c>
      <c r="Q6" s="1">
        <f t="shared" si="9"/>
        <v>13654.152250396572</v>
      </c>
      <c r="S6" s="1">
        <f t="shared" si="10"/>
        <v>272.87299750800997</v>
      </c>
      <c r="T6" s="1">
        <f t="shared" si="11"/>
        <v>29.343684585261567</v>
      </c>
      <c r="U6" s="2">
        <f t="shared" si="12"/>
        <v>2.1299316756607099E-2</v>
      </c>
      <c r="V6" s="1">
        <f t="shared" si="13"/>
        <v>10.047703809184764</v>
      </c>
      <c r="W6" s="1">
        <f t="shared" si="14"/>
        <v>16.06799661801352</v>
      </c>
      <c r="X6" s="1">
        <f t="shared" si="15"/>
        <v>0.1423994304022784</v>
      </c>
      <c r="Y6" s="1">
        <f t="shared" si="16"/>
        <v>186435873.67700976</v>
      </c>
    </row>
    <row r="7" spans="2:25" x14ac:dyDescent="0.3">
      <c r="B7" s="1">
        <v>2.5</v>
      </c>
      <c r="C7" s="1">
        <v>7</v>
      </c>
      <c r="D7" s="1">
        <v>20.7</v>
      </c>
      <c r="E7" s="2">
        <f t="shared" si="1"/>
        <v>6.0320784206961643E-3</v>
      </c>
      <c r="F7" s="1">
        <v>5</v>
      </c>
      <c r="G7" s="1">
        <v>7.4</v>
      </c>
      <c r="H7" s="3">
        <f t="shared" si="2"/>
        <v>0</v>
      </c>
      <c r="I7" s="1">
        <f t="shared" si="3"/>
        <v>19334.032977832314</v>
      </c>
      <c r="K7" s="1">
        <f t="shared" si="17"/>
        <v>-13.518867924528301</v>
      </c>
      <c r="L7" s="1">
        <f t="shared" si="4"/>
        <v>-20.883018867924537</v>
      </c>
      <c r="M7" s="2">
        <f t="shared" si="5"/>
        <v>-0.10046007433406286</v>
      </c>
      <c r="N7" s="1">
        <f t="shared" si="6"/>
        <v>-0.16981132075471717</v>
      </c>
      <c r="O7" s="1">
        <f t="shared" si="7"/>
        <v>-0.40849056603773448</v>
      </c>
      <c r="P7" s="1">
        <f t="shared" si="8"/>
        <v>-0.62264150943396224</v>
      </c>
      <c r="Q7" s="1">
        <f t="shared" si="9"/>
        <v>6815.642881152402</v>
      </c>
      <c r="S7" s="1">
        <f t="shared" si="10"/>
        <v>182.75978996084015</v>
      </c>
      <c r="T7" s="1">
        <f t="shared" si="11"/>
        <v>436.10047703809221</v>
      </c>
      <c r="U7" s="2">
        <f t="shared" si="12"/>
        <v>1.0092226535205435E-2</v>
      </c>
      <c r="V7" s="1">
        <f t="shared" si="13"/>
        <v>2.8835884656461436E-2</v>
      </c>
      <c r="W7" s="1">
        <f t="shared" si="14"/>
        <v>0.16686454254182873</v>
      </c>
      <c r="X7" s="1">
        <f t="shared" si="15"/>
        <v>0.3876824492702029</v>
      </c>
      <c r="Y7" s="1">
        <f t="shared" si="16"/>
        <v>46452987.883403413</v>
      </c>
    </row>
    <row r="8" spans="2:25" x14ac:dyDescent="0.3">
      <c r="B8" s="1">
        <v>1.6</v>
      </c>
      <c r="C8" s="1">
        <v>11</v>
      </c>
      <c r="D8" s="1">
        <v>46.5</v>
      </c>
      <c r="E8" s="2">
        <f t="shared" si="1"/>
        <v>1.3498724201828875E-2</v>
      </c>
      <c r="F8" s="1">
        <v>10</v>
      </c>
      <c r="G8" s="1">
        <v>21.2</v>
      </c>
      <c r="H8" s="3">
        <f t="shared" si="2"/>
        <v>0</v>
      </c>
      <c r="I8" s="1">
        <f t="shared" si="3"/>
        <v>9387.6708727566383</v>
      </c>
      <c r="K8" s="1">
        <f t="shared" si="17"/>
        <v>-9.5188679245283012</v>
      </c>
      <c r="L8" s="1">
        <f t="shared" si="4"/>
        <v>4.9169811320754633</v>
      </c>
      <c r="M8" s="2">
        <f t="shared" si="5"/>
        <v>-9.2993428552930149E-2</v>
      </c>
      <c r="N8" s="1">
        <f t="shared" si="6"/>
        <v>4.8301886792452828</v>
      </c>
      <c r="O8" s="1">
        <f t="shared" si="7"/>
        <v>13.391509433962264</v>
      </c>
      <c r="P8" s="1">
        <f t="shared" si="8"/>
        <v>-0.62264150943396224</v>
      </c>
      <c r="Q8" s="1">
        <f t="shared" si="9"/>
        <v>-3130.7192239232736</v>
      </c>
      <c r="S8" s="1">
        <f t="shared" si="10"/>
        <v>90.608846564613728</v>
      </c>
      <c r="T8" s="1">
        <f t="shared" si="11"/>
        <v>24.176703453186104</v>
      </c>
      <c r="U8" s="2">
        <f t="shared" si="12"/>
        <v>8.647777754028925E-3</v>
      </c>
      <c r="V8" s="1">
        <f t="shared" si="13"/>
        <v>23.330722677109289</v>
      </c>
      <c r="W8" s="1">
        <f t="shared" si="14"/>
        <v>179.33252491990032</v>
      </c>
      <c r="X8" s="1">
        <f t="shared" si="15"/>
        <v>0.3876824492702029</v>
      </c>
      <c r="Y8" s="1">
        <f t="shared" si="16"/>
        <v>9801402.8590427451</v>
      </c>
    </row>
    <row r="9" spans="2:25" x14ac:dyDescent="0.3">
      <c r="B9" s="1">
        <v>1.6</v>
      </c>
      <c r="C9" s="1">
        <v>4</v>
      </c>
      <c r="D9" s="1">
        <v>47</v>
      </c>
      <c r="E9" s="2">
        <f t="shared" si="1"/>
        <v>0.27411889403104733</v>
      </c>
      <c r="F9" s="1">
        <v>1</v>
      </c>
      <c r="G9" s="1">
        <v>6.5</v>
      </c>
      <c r="H9" s="3">
        <f t="shared" si="2"/>
        <v>1</v>
      </c>
      <c r="I9" s="1">
        <f t="shared" si="3"/>
        <v>25859.374889705381</v>
      </c>
      <c r="K9" s="1">
        <f t="shared" si="17"/>
        <v>-16.518867924528301</v>
      </c>
      <c r="L9" s="1">
        <f t="shared" si="4"/>
        <v>5.4169811320754633</v>
      </c>
      <c r="M9" s="2">
        <f t="shared" si="5"/>
        <v>0.16762674127628829</v>
      </c>
      <c r="N9" s="1">
        <f t="shared" si="6"/>
        <v>-4.1698113207547172</v>
      </c>
      <c r="O9" s="1">
        <f t="shared" si="7"/>
        <v>-1.3084905660377348</v>
      </c>
      <c r="P9" s="1">
        <f t="shared" si="8"/>
        <v>0.37735849056603776</v>
      </c>
      <c r="Q9" s="1">
        <f t="shared" si="9"/>
        <v>13340.984793025469</v>
      </c>
      <c r="S9" s="1">
        <f t="shared" si="10"/>
        <v>272.87299750800997</v>
      </c>
      <c r="T9" s="1">
        <f t="shared" si="11"/>
        <v>29.343684585261567</v>
      </c>
      <c r="U9" s="2">
        <f t="shared" si="12"/>
        <v>2.8098724390907694E-2</v>
      </c>
      <c r="V9" s="1">
        <f t="shared" si="13"/>
        <v>17.3873264506942</v>
      </c>
      <c r="W9" s="1">
        <f t="shared" si="14"/>
        <v>1.7121475614097517</v>
      </c>
      <c r="X9" s="1">
        <f t="shared" si="15"/>
        <v>0.1423994304022784</v>
      </c>
      <c r="Y9" s="1">
        <f t="shared" si="16"/>
        <v>177981875.24773681</v>
      </c>
    </row>
    <row r="10" spans="2:25" x14ac:dyDescent="0.3">
      <c r="B10" s="1">
        <v>1.4</v>
      </c>
      <c r="C10" s="1">
        <v>4</v>
      </c>
      <c r="D10" s="1">
        <v>46.8</v>
      </c>
      <c r="E10" s="2">
        <f t="shared" si="1"/>
        <v>0.13879022446043357</v>
      </c>
      <c r="F10" s="1">
        <v>0</v>
      </c>
      <c r="G10" s="1">
        <v>5.4</v>
      </c>
      <c r="H10" s="3">
        <f t="shared" si="2"/>
        <v>1</v>
      </c>
      <c r="I10" s="1">
        <f t="shared" si="3"/>
        <v>25827.573909125491</v>
      </c>
      <c r="K10" s="1">
        <f t="shared" si="17"/>
        <v>-16.518867924528301</v>
      </c>
      <c r="L10" s="1">
        <f t="shared" si="4"/>
        <v>5.2169811320754604</v>
      </c>
      <c r="M10" s="2">
        <f t="shared" si="5"/>
        <v>3.2298071705674544E-2</v>
      </c>
      <c r="N10" s="1">
        <f t="shared" si="6"/>
        <v>-5.1698113207547172</v>
      </c>
      <c r="O10" s="1">
        <f t="shared" si="7"/>
        <v>-2.4084905660377345</v>
      </c>
      <c r="P10" s="1">
        <f t="shared" si="8"/>
        <v>0.37735849056603776</v>
      </c>
      <c r="Q10" s="1">
        <f t="shared" si="9"/>
        <v>13309.183812445579</v>
      </c>
      <c r="S10" s="1">
        <f t="shared" si="10"/>
        <v>272.87299750800997</v>
      </c>
      <c r="T10" s="1">
        <f t="shared" si="11"/>
        <v>27.216892132431354</v>
      </c>
      <c r="U10" s="2">
        <f t="shared" si="12"/>
        <v>1.0431654359048946E-3</v>
      </c>
      <c r="V10" s="1">
        <f t="shared" si="13"/>
        <v>26.726949092203633</v>
      </c>
      <c r="W10" s="1">
        <f t="shared" si="14"/>
        <v>5.8008268066927666</v>
      </c>
      <c r="X10" s="1">
        <f t="shared" si="15"/>
        <v>0.1423994304022784</v>
      </c>
      <c r="Y10" s="1">
        <f t="shared" si="16"/>
        <v>177134373.75346345</v>
      </c>
    </row>
    <row r="11" spans="2:25" x14ac:dyDescent="0.3">
      <c r="B11" s="1">
        <v>1.7</v>
      </c>
      <c r="C11" s="1">
        <v>19</v>
      </c>
      <c r="D11" s="1">
        <v>48.9</v>
      </c>
      <c r="E11" s="2">
        <f t="shared" si="1"/>
        <v>9.8627334348734617E-4</v>
      </c>
      <c r="F11" s="1">
        <v>10</v>
      </c>
      <c r="G11" s="1">
        <v>6.5</v>
      </c>
      <c r="H11" s="3">
        <f t="shared" si="2"/>
        <v>0</v>
      </c>
      <c r="I11" s="1">
        <f t="shared" si="3"/>
        <v>8763.3098820545292</v>
      </c>
      <c r="K11" s="1">
        <f t="shared" si="17"/>
        <v>-1.5188679245283012</v>
      </c>
      <c r="L11" s="1">
        <f t="shared" si="4"/>
        <v>7.3169811320754619</v>
      </c>
      <c r="M11" s="2">
        <f t="shared" si="5"/>
        <v>-0.10550587941127168</v>
      </c>
      <c r="N11" s="1">
        <f t="shared" si="6"/>
        <v>4.8301886792452828</v>
      </c>
      <c r="O11" s="1">
        <f t="shared" si="7"/>
        <v>-1.3084905660377348</v>
      </c>
      <c r="P11" s="1">
        <f t="shared" si="8"/>
        <v>-0.62264150943396224</v>
      </c>
      <c r="Q11" s="1">
        <f t="shared" si="9"/>
        <v>-3755.0802146253827</v>
      </c>
      <c r="S11" s="1">
        <f t="shared" si="10"/>
        <v>2.3069597721609094</v>
      </c>
      <c r="T11" s="1">
        <f t="shared" si="11"/>
        <v>53.538212887148305</v>
      </c>
      <c r="U11" s="2">
        <f t="shared" si="12"/>
        <v>1.1131490590345801E-2</v>
      </c>
      <c r="V11" s="1">
        <f t="shared" si="13"/>
        <v>23.330722677109289</v>
      </c>
      <c r="W11" s="1">
        <f t="shared" si="14"/>
        <v>1.7121475614097517</v>
      </c>
      <c r="X11" s="1">
        <f t="shared" si="15"/>
        <v>0.3876824492702029</v>
      </c>
      <c r="Y11" s="1">
        <f t="shared" si="16"/>
        <v>14100627.418271011</v>
      </c>
    </row>
    <row r="12" spans="2:25" x14ac:dyDescent="0.3">
      <c r="B12" s="1">
        <v>1.8</v>
      </c>
      <c r="C12" s="1">
        <v>7</v>
      </c>
      <c r="D12" s="1">
        <v>20.9</v>
      </c>
      <c r="E12" s="2">
        <f t="shared" si="1"/>
        <v>1.7630724475853253E-2</v>
      </c>
      <c r="F12" s="1">
        <v>2</v>
      </c>
      <c r="G12" s="1">
        <v>1.8</v>
      </c>
      <c r="H12" s="3">
        <f t="shared" si="2"/>
        <v>1</v>
      </c>
      <c r="I12" s="1">
        <f t="shared" si="3"/>
        <v>16553.199241878847</v>
      </c>
      <c r="K12" s="1">
        <f t="shared" si="17"/>
        <v>-13.518867924528301</v>
      </c>
      <c r="L12" s="1">
        <f t="shared" si="4"/>
        <v>-20.683018867924538</v>
      </c>
      <c r="M12" s="2">
        <f t="shared" si="5"/>
        <v>-8.886142827890578E-2</v>
      </c>
      <c r="N12" s="1">
        <f t="shared" si="6"/>
        <v>-3.1698113207547172</v>
      </c>
      <c r="O12" s="1">
        <f t="shared" si="7"/>
        <v>-6.008490566037735</v>
      </c>
      <c r="P12" s="1">
        <f t="shared" si="8"/>
        <v>0.37735849056603776</v>
      </c>
      <c r="Q12" s="1">
        <f t="shared" si="9"/>
        <v>4034.8091451989349</v>
      </c>
      <c r="S12" s="1">
        <f t="shared" si="10"/>
        <v>182.75978996084015</v>
      </c>
      <c r="T12" s="1">
        <f t="shared" si="11"/>
        <v>427.78726949092243</v>
      </c>
      <c r="U12" s="2">
        <f t="shared" si="12"/>
        <v>7.8963534357671152E-3</v>
      </c>
      <c r="V12" s="1">
        <f t="shared" si="13"/>
        <v>10.047703809184764</v>
      </c>
      <c r="W12" s="1">
        <f t="shared" si="14"/>
        <v>36.10195888216446</v>
      </c>
      <c r="X12" s="1">
        <f t="shared" si="15"/>
        <v>0.1423994304022784</v>
      </c>
      <c r="Y12" s="1">
        <f t="shared" si="16"/>
        <v>16279684.838180959</v>
      </c>
    </row>
    <row r="13" spans="2:25" x14ac:dyDescent="0.3">
      <c r="B13" s="1">
        <v>1.6</v>
      </c>
      <c r="C13" s="1">
        <v>4</v>
      </c>
      <c r="D13" s="1">
        <v>46.7</v>
      </c>
      <c r="E13" s="2">
        <f t="shared" si="1"/>
        <v>0.29077736178303643</v>
      </c>
      <c r="F13" s="1">
        <v>1</v>
      </c>
      <c r="G13" s="1">
        <v>5.6</v>
      </c>
      <c r="H13" s="3">
        <f t="shared" si="2"/>
        <v>1</v>
      </c>
      <c r="I13" s="1">
        <f t="shared" si="3"/>
        <v>23592.417113136464</v>
      </c>
      <c r="K13" s="1">
        <f t="shared" si="17"/>
        <v>-16.518867924528301</v>
      </c>
      <c r="L13" s="1">
        <f t="shared" si="4"/>
        <v>5.1169811320754661</v>
      </c>
      <c r="M13" s="2">
        <f t="shared" si="5"/>
        <v>0.18428520902827739</v>
      </c>
      <c r="N13" s="1">
        <f t="shared" si="6"/>
        <v>-4.1698113207547172</v>
      </c>
      <c r="O13" s="1">
        <f t="shared" si="7"/>
        <v>-2.2084905660377352</v>
      </c>
      <c r="P13" s="1">
        <f t="shared" si="8"/>
        <v>0.37735849056603776</v>
      </c>
      <c r="Q13" s="1">
        <f t="shared" si="9"/>
        <v>11074.027016456552</v>
      </c>
      <c r="S13" s="1">
        <f t="shared" si="10"/>
        <v>272.87299750800997</v>
      </c>
      <c r="T13" s="1">
        <f t="shared" si="11"/>
        <v>26.183495906016319</v>
      </c>
      <c r="U13" s="2">
        <f t="shared" si="12"/>
        <v>3.396103826659589E-2</v>
      </c>
      <c r="V13" s="1">
        <f t="shared" si="13"/>
        <v>17.3873264506942</v>
      </c>
      <c r="W13" s="1">
        <f t="shared" si="14"/>
        <v>4.8774305802776761</v>
      </c>
      <c r="X13" s="1">
        <f t="shared" si="15"/>
        <v>0.1423994304022784</v>
      </c>
      <c r="Y13" s="1">
        <f t="shared" si="16"/>
        <v>122634074.3612096</v>
      </c>
    </row>
    <row r="14" spans="2:25" x14ac:dyDescent="0.3">
      <c r="B14" s="1">
        <v>2</v>
      </c>
      <c r="C14" s="1">
        <v>12</v>
      </c>
      <c r="D14" s="1">
        <v>37.799999999999997</v>
      </c>
      <c r="E14" s="2">
        <f t="shared" si="1"/>
        <v>7.544740310038528E-2</v>
      </c>
      <c r="F14" s="1">
        <v>0</v>
      </c>
      <c r="G14" s="1">
        <v>8.5</v>
      </c>
      <c r="H14" s="3">
        <f t="shared" si="2"/>
        <v>1</v>
      </c>
      <c r="I14" s="1">
        <f t="shared" si="3"/>
        <v>4327.436699628799</v>
      </c>
      <c r="K14" s="1">
        <f t="shared" si="17"/>
        <v>-8.5188679245283012</v>
      </c>
      <c r="L14" s="1">
        <f t="shared" si="4"/>
        <v>-3.7830188679245396</v>
      </c>
      <c r="M14" s="2">
        <f t="shared" si="5"/>
        <v>-3.1044749654373746E-2</v>
      </c>
      <c r="N14" s="1">
        <f t="shared" si="6"/>
        <v>-5.1698113207547172</v>
      </c>
      <c r="O14" s="1">
        <f t="shared" si="7"/>
        <v>0.69150943396226516</v>
      </c>
      <c r="P14" s="1">
        <f t="shared" si="8"/>
        <v>0.37735849056603776</v>
      </c>
      <c r="Q14" s="1">
        <f t="shared" si="9"/>
        <v>-8190.9533970511129</v>
      </c>
      <c r="S14" s="1">
        <f t="shared" si="10"/>
        <v>72.571110715557126</v>
      </c>
      <c r="T14" s="1">
        <f t="shared" si="11"/>
        <v>14.311231755073065</v>
      </c>
      <c r="U14" s="2">
        <f t="shared" si="12"/>
        <v>9.6377648110273887E-4</v>
      </c>
      <c r="V14" s="1">
        <f t="shared" si="13"/>
        <v>26.726949092203633</v>
      </c>
      <c r="W14" s="1">
        <f t="shared" si="14"/>
        <v>0.47818529725881237</v>
      </c>
      <c r="X14" s="1">
        <f t="shared" si="15"/>
        <v>0.1423994304022784</v>
      </c>
      <c r="Y14" s="1">
        <f t="shared" si="16"/>
        <v>67091717.55266317</v>
      </c>
    </row>
    <row r="15" spans="2:25" x14ac:dyDescent="0.3">
      <c r="B15" s="1">
        <v>5</v>
      </c>
      <c r="C15" s="1">
        <v>86</v>
      </c>
      <c r="D15" s="1">
        <v>49.3</v>
      </c>
      <c r="E15" s="2">
        <f t="shared" si="1"/>
        <v>4.9491883331133697E-2</v>
      </c>
      <c r="F15" s="1">
        <v>7</v>
      </c>
      <c r="G15" s="1">
        <v>1.6</v>
      </c>
      <c r="H15" s="3">
        <f t="shared" si="2"/>
        <v>0</v>
      </c>
      <c r="I15" s="1">
        <f t="shared" si="3"/>
        <v>2363.06998152303</v>
      </c>
      <c r="K15" s="1">
        <f t="shared" si="17"/>
        <v>65.481132075471692</v>
      </c>
      <c r="L15" s="1">
        <f t="shared" si="4"/>
        <v>7.7169811320754604</v>
      </c>
      <c r="M15" s="2">
        <f t="shared" si="5"/>
        <v>-5.7000269423625329E-2</v>
      </c>
      <c r="N15" s="1">
        <f t="shared" si="6"/>
        <v>1.8301886792452828</v>
      </c>
      <c r="O15" s="1">
        <f t="shared" si="7"/>
        <v>-6.2084905660377352</v>
      </c>
      <c r="P15" s="1">
        <f t="shared" si="8"/>
        <v>-0.62264150943396224</v>
      </c>
      <c r="Q15" s="1">
        <f t="shared" si="9"/>
        <v>-10155.320115156883</v>
      </c>
      <c r="S15" s="1">
        <f t="shared" si="10"/>
        <v>4287.7786578853675</v>
      </c>
      <c r="T15" s="1">
        <f t="shared" si="11"/>
        <v>59.551797792808657</v>
      </c>
      <c r="U15" s="2">
        <f t="shared" si="12"/>
        <v>3.2490307143658763E-3</v>
      </c>
      <c r="V15" s="1">
        <f t="shared" si="13"/>
        <v>3.3495906016375927</v>
      </c>
      <c r="W15" s="1">
        <f t="shared" si="14"/>
        <v>38.545355108579557</v>
      </c>
      <c r="X15" s="1">
        <f t="shared" si="15"/>
        <v>0.3876824492702029</v>
      </c>
      <c r="Y15" s="1">
        <f t="shared" si="16"/>
        <v>103130526.64131001</v>
      </c>
    </row>
    <row r="16" spans="2:25" x14ac:dyDescent="0.3">
      <c r="B16" s="1">
        <v>1.4</v>
      </c>
      <c r="C16" s="1">
        <v>28</v>
      </c>
      <c r="D16" s="1">
        <v>39.799999999999997</v>
      </c>
      <c r="E16" s="2">
        <f t="shared" si="1"/>
        <v>1.2959948574924055E-2</v>
      </c>
      <c r="F16" s="1">
        <v>4</v>
      </c>
      <c r="G16" s="1">
        <v>3.6</v>
      </c>
      <c r="H16" s="3">
        <f t="shared" si="2"/>
        <v>0</v>
      </c>
      <c r="I16" s="1">
        <f t="shared" si="3"/>
        <v>6476.4362215010733</v>
      </c>
      <c r="K16" s="1">
        <f t="shared" si="17"/>
        <v>7.4811320754716988</v>
      </c>
      <c r="L16" s="1">
        <f t="shared" si="4"/>
        <v>-1.7830188679245396</v>
      </c>
      <c r="M16" s="2">
        <f t="shared" si="5"/>
        <v>-9.3532204179834974E-2</v>
      </c>
      <c r="N16" s="1">
        <f t="shared" si="6"/>
        <v>-1.1698113207547172</v>
      </c>
      <c r="O16" s="1">
        <f t="shared" si="7"/>
        <v>-4.2084905660377352</v>
      </c>
      <c r="P16" s="1">
        <f t="shared" si="8"/>
        <v>-0.62264150943396224</v>
      </c>
      <c r="Q16" s="1">
        <f t="shared" si="9"/>
        <v>-6041.9538751788386</v>
      </c>
      <c r="S16" s="1">
        <f t="shared" si="10"/>
        <v>55.967337130651487</v>
      </c>
      <c r="T16" s="1">
        <f t="shared" si="11"/>
        <v>3.1791562833749065</v>
      </c>
      <c r="U16" s="2">
        <f t="shared" si="12"/>
        <v>8.7482732187383391E-3</v>
      </c>
      <c r="V16" s="1">
        <f t="shared" si="13"/>
        <v>1.3684585261658957</v>
      </c>
      <c r="W16" s="1">
        <f t="shared" si="14"/>
        <v>17.711392844428616</v>
      </c>
      <c r="X16" s="1">
        <f t="shared" si="15"/>
        <v>0.3876824492702029</v>
      </c>
      <c r="Y16" s="1">
        <f t="shared" si="16"/>
        <v>36505206.629788585</v>
      </c>
    </row>
    <row r="17" spans="2:25" x14ac:dyDescent="0.3">
      <c r="B17" s="1">
        <v>2.7</v>
      </c>
      <c r="C17" s="1">
        <v>25</v>
      </c>
      <c r="D17" s="1">
        <v>42.6</v>
      </c>
      <c r="E17" s="2">
        <f t="shared" si="1"/>
        <v>4.1120460590279073E-2</v>
      </c>
      <c r="F17" s="1">
        <v>5</v>
      </c>
      <c r="G17" s="1">
        <v>7.9</v>
      </c>
      <c r="H17" s="3">
        <f t="shared" si="2"/>
        <v>0</v>
      </c>
      <c r="I17" s="1">
        <f t="shared" si="3"/>
        <v>5789.6280662906374</v>
      </c>
      <c r="K17" s="1">
        <f t="shared" si="17"/>
        <v>4.4811320754716988</v>
      </c>
      <c r="L17" s="1">
        <f t="shared" si="4"/>
        <v>1.0169811320754647</v>
      </c>
      <c r="M17" s="2">
        <f t="shared" si="5"/>
        <v>-6.5371692164479953E-2</v>
      </c>
      <c r="N17" s="1">
        <f t="shared" si="6"/>
        <v>-0.16981132075471717</v>
      </c>
      <c r="O17" s="1">
        <f t="shared" si="7"/>
        <v>9.1509433962265518E-2</v>
      </c>
      <c r="P17" s="1">
        <f t="shared" si="8"/>
        <v>-0.62264150943396224</v>
      </c>
      <c r="Q17" s="1">
        <f t="shared" si="9"/>
        <v>-6728.7620303892745</v>
      </c>
      <c r="S17" s="1">
        <f t="shared" si="10"/>
        <v>20.080544677821294</v>
      </c>
      <c r="T17" s="1">
        <f t="shared" si="11"/>
        <v>1.0342506229974937</v>
      </c>
      <c r="U17" s="2">
        <f t="shared" si="12"/>
        <v>4.2734581364475294E-3</v>
      </c>
      <c r="V17" s="1">
        <f t="shared" si="13"/>
        <v>2.8835884656461436E-2</v>
      </c>
      <c r="W17" s="1">
        <f t="shared" si="14"/>
        <v>8.3739765040942334E-3</v>
      </c>
      <c r="X17" s="1">
        <f t="shared" si="15"/>
        <v>0.3876824492702029</v>
      </c>
      <c r="Y17" s="1">
        <f t="shared" si="16"/>
        <v>45276238.461608395</v>
      </c>
    </row>
    <row r="18" spans="2:25" x14ac:dyDescent="0.3">
      <c r="B18" s="1">
        <v>1.6</v>
      </c>
      <c r="C18" s="1">
        <v>15</v>
      </c>
      <c r="D18" s="1">
        <v>42.8</v>
      </c>
      <c r="E18" s="2">
        <f t="shared" si="1"/>
        <v>8.1058296754396811E-2</v>
      </c>
      <c r="F18" s="1">
        <v>5</v>
      </c>
      <c r="G18" s="1">
        <v>13.7</v>
      </c>
      <c r="H18" s="3">
        <f t="shared" si="2"/>
        <v>0</v>
      </c>
      <c r="I18" s="1">
        <f t="shared" si="3"/>
        <v>8831.180672010727</v>
      </c>
      <c r="K18" s="1">
        <f t="shared" si="17"/>
        <v>-5.5188679245283012</v>
      </c>
      <c r="L18" s="1">
        <f t="shared" si="4"/>
        <v>1.2169811320754604</v>
      </c>
      <c r="M18" s="2">
        <f t="shared" si="5"/>
        <v>-2.5433856000362215E-2</v>
      </c>
      <c r="N18" s="1">
        <f t="shared" si="6"/>
        <v>-0.16981132075471717</v>
      </c>
      <c r="O18" s="1">
        <f t="shared" si="7"/>
        <v>5.8915094339622645</v>
      </c>
      <c r="P18" s="1">
        <f t="shared" si="8"/>
        <v>-0.62264150943396224</v>
      </c>
      <c r="Q18" s="1">
        <f t="shared" si="9"/>
        <v>-3687.209424669185</v>
      </c>
      <c r="S18" s="1">
        <f t="shared" si="10"/>
        <v>30.457903168387318</v>
      </c>
      <c r="T18" s="1">
        <f t="shared" si="11"/>
        <v>1.4810430758276694</v>
      </c>
      <c r="U18" s="2">
        <f t="shared" si="12"/>
        <v>6.4688103104716102E-4</v>
      </c>
      <c r="V18" s="1">
        <f t="shared" si="13"/>
        <v>2.8835884656461436E-2</v>
      </c>
      <c r="W18" s="1">
        <f t="shared" si="14"/>
        <v>34.709883410466361</v>
      </c>
      <c r="X18" s="1">
        <f t="shared" si="15"/>
        <v>0.3876824492702029</v>
      </c>
      <c r="Y18" s="1">
        <f t="shared" si="16"/>
        <v>13595513.341369262</v>
      </c>
    </row>
    <row r="19" spans="2:25" x14ac:dyDescent="0.3">
      <c r="B19" s="1">
        <v>1.8</v>
      </c>
      <c r="C19" s="1">
        <v>12</v>
      </c>
      <c r="D19" s="1">
        <v>41.1</v>
      </c>
      <c r="E19" s="2">
        <f t="shared" si="1"/>
        <v>2.2858240052665384E-2</v>
      </c>
      <c r="F19" s="1">
        <v>2</v>
      </c>
      <c r="G19" s="1">
        <v>7.7</v>
      </c>
      <c r="H19" s="3">
        <f t="shared" si="2"/>
        <v>1</v>
      </c>
      <c r="I19" s="1">
        <f t="shared" si="3"/>
        <v>13291.97515766471</v>
      </c>
      <c r="K19" s="1">
        <f t="shared" si="17"/>
        <v>-8.5188679245283012</v>
      </c>
      <c r="L19" s="1">
        <f t="shared" si="4"/>
        <v>-0.4830188679245353</v>
      </c>
      <c r="M19" s="2">
        <f t="shared" si="5"/>
        <v>-8.3633912702093638E-2</v>
      </c>
      <c r="N19" s="1">
        <f t="shared" si="6"/>
        <v>-3.1698113207547172</v>
      </c>
      <c r="O19" s="1">
        <f t="shared" si="7"/>
        <v>-0.10849056603773466</v>
      </c>
      <c r="P19" s="1">
        <f t="shared" si="8"/>
        <v>0.37735849056603776</v>
      </c>
      <c r="Q19" s="1">
        <f t="shared" si="9"/>
        <v>773.58506098479847</v>
      </c>
      <c r="S19" s="1">
        <f t="shared" si="10"/>
        <v>72.571110715557126</v>
      </c>
      <c r="T19" s="1">
        <f t="shared" si="11"/>
        <v>0.23330722677109966</v>
      </c>
      <c r="U19" s="2">
        <f t="shared" si="12"/>
        <v>6.9946313538614196E-3</v>
      </c>
      <c r="V19" s="1">
        <f t="shared" si="13"/>
        <v>10.047703809184764</v>
      </c>
      <c r="W19" s="1">
        <f t="shared" si="14"/>
        <v>1.1770202919188065E-2</v>
      </c>
      <c r="X19" s="1">
        <f t="shared" si="15"/>
        <v>0.1423994304022784</v>
      </c>
      <c r="Y19" s="1">
        <f t="shared" si="16"/>
        <v>598433.84657885437</v>
      </c>
    </row>
    <row r="20" spans="2:25" x14ac:dyDescent="0.3">
      <c r="B20" s="1">
        <v>1.6</v>
      </c>
      <c r="C20" s="1">
        <v>6</v>
      </c>
      <c r="D20" s="1">
        <v>46</v>
      </c>
      <c r="E20" s="2">
        <f t="shared" si="1"/>
        <v>4.6053469517280482E-2</v>
      </c>
      <c r="F20" s="1">
        <v>15</v>
      </c>
      <c r="G20" s="1">
        <v>5.0999999999999996</v>
      </c>
      <c r="H20" s="3">
        <f t="shared" si="2"/>
        <v>0</v>
      </c>
      <c r="I20" s="1">
        <f t="shared" si="3"/>
        <v>12933.502387944352</v>
      </c>
      <c r="K20" s="1">
        <f t="shared" si="17"/>
        <v>-14.518867924528301</v>
      </c>
      <c r="L20" s="1">
        <f t="shared" si="4"/>
        <v>4.4169811320754633</v>
      </c>
      <c r="M20" s="2">
        <f t="shared" si="5"/>
        <v>-6.0438683237478544E-2</v>
      </c>
      <c r="N20" s="1">
        <f t="shared" si="6"/>
        <v>9.8301886792452819</v>
      </c>
      <c r="O20" s="1">
        <f t="shared" si="7"/>
        <v>-2.7084905660377352</v>
      </c>
      <c r="P20" s="1">
        <f t="shared" si="8"/>
        <v>-0.62264150943396224</v>
      </c>
      <c r="Q20" s="1">
        <f t="shared" si="9"/>
        <v>415.1122912644405</v>
      </c>
      <c r="S20" s="1">
        <f t="shared" si="10"/>
        <v>210.79752580989674</v>
      </c>
      <c r="T20" s="1">
        <f t="shared" si="11"/>
        <v>19.50972232111064</v>
      </c>
      <c r="U20" s="2">
        <f t="shared" si="12"/>
        <v>3.6528344314802701E-3</v>
      </c>
      <c r="V20" s="1">
        <f t="shared" si="13"/>
        <v>96.632609469562098</v>
      </c>
      <c r="W20" s="1">
        <f t="shared" si="14"/>
        <v>7.3359211463154113</v>
      </c>
      <c r="X20" s="1">
        <f t="shared" si="15"/>
        <v>0.3876824492702029</v>
      </c>
      <c r="Y20" s="1">
        <f t="shared" si="16"/>
        <v>172318.21435881368</v>
      </c>
    </row>
    <row r="21" spans="2:25" x14ac:dyDescent="0.3">
      <c r="B21" s="1">
        <v>5.2</v>
      </c>
      <c r="C21" s="1">
        <v>54</v>
      </c>
      <c r="D21" s="1">
        <v>51.5</v>
      </c>
      <c r="E21" s="2">
        <f t="shared" si="1"/>
        <v>8.4098744035717072E-4</v>
      </c>
      <c r="F21" s="1">
        <v>10</v>
      </c>
      <c r="G21" s="1">
        <v>1.7</v>
      </c>
      <c r="H21" s="3">
        <f t="shared" si="2"/>
        <v>0</v>
      </c>
      <c r="I21" s="1">
        <f t="shared" si="3"/>
        <v>579.78262829431605</v>
      </c>
      <c r="K21" s="1">
        <f t="shared" si="17"/>
        <v>33.481132075471699</v>
      </c>
      <c r="L21" s="1">
        <f t="shared" si="4"/>
        <v>9.9169811320754633</v>
      </c>
      <c r="M21" s="2">
        <f t="shared" si="5"/>
        <v>-0.10565116531440186</v>
      </c>
      <c r="N21" s="1">
        <f t="shared" si="6"/>
        <v>4.8301886792452828</v>
      </c>
      <c r="O21" s="1">
        <f t="shared" si="7"/>
        <v>-6.1084905660377347</v>
      </c>
      <c r="P21" s="1">
        <f t="shared" si="8"/>
        <v>-0.62264150943396224</v>
      </c>
      <c r="Q21" s="1">
        <f t="shared" si="9"/>
        <v>-11938.607468385595</v>
      </c>
      <c r="S21" s="1">
        <f t="shared" si="10"/>
        <v>1120.9862050551799</v>
      </c>
      <c r="T21" s="1">
        <f t="shared" si="11"/>
        <v>98.34651477394074</v>
      </c>
      <c r="U21" s="2">
        <f t="shared" si="12"/>
        <v>1.116216873229107E-2</v>
      </c>
      <c r="V21" s="1">
        <f t="shared" si="13"/>
        <v>23.330722677109289</v>
      </c>
      <c r="W21" s="1">
        <f t="shared" si="14"/>
        <v>37.313656995372007</v>
      </c>
      <c r="X21" s="1">
        <f t="shared" si="15"/>
        <v>0.3876824492702029</v>
      </c>
      <c r="Y21" s="1">
        <f t="shared" si="16"/>
        <v>142530348.28419229</v>
      </c>
    </row>
    <row r="22" spans="2:25" x14ac:dyDescent="0.3">
      <c r="B22" s="1">
        <v>1.9</v>
      </c>
      <c r="C22" s="1">
        <v>14</v>
      </c>
      <c r="D22" s="1">
        <v>43.3</v>
      </c>
      <c r="E22" s="2">
        <f t="shared" si="1"/>
        <v>8.9930160237559509E-2</v>
      </c>
      <c r="F22" s="1">
        <v>8</v>
      </c>
      <c r="G22" s="1">
        <v>15.3</v>
      </c>
      <c r="H22" s="3">
        <f t="shared" si="2"/>
        <v>0</v>
      </c>
      <c r="I22" s="1">
        <f t="shared" si="3"/>
        <v>4058.1164667519206</v>
      </c>
      <c r="K22" s="1">
        <f t="shared" si="17"/>
        <v>-6.5188679245283012</v>
      </c>
      <c r="L22" s="1">
        <f t="shared" si="4"/>
        <v>1.7169811320754604</v>
      </c>
      <c r="M22" s="2">
        <f t="shared" si="5"/>
        <v>-1.6561992517199517E-2</v>
      </c>
      <c r="N22" s="1">
        <f t="shared" si="6"/>
        <v>2.8301886792452828</v>
      </c>
      <c r="O22" s="1">
        <f t="shared" si="7"/>
        <v>7.4915094339622659</v>
      </c>
      <c r="P22" s="1">
        <f t="shared" si="8"/>
        <v>-0.62264150943396224</v>
      </c>
      <c r="Q22" s="1">
        <f t="shared" si="9"/>
        <v>-8460.2736299279914</v>
      </c>
      <c r="S22" s="1">
        <f t="shared" si="10"/>
        <v>42.495639017443921</v>
      </c>
      <c r="T22" s="1">
        <f t="shared" si="11"/>
        <v>2.9480242079031296</v>
      </c>
      <c r="U22" s="2">
        <f t="shared" si="12"/>
        <v>2.7429959613977278E-4</v>
      </c>
      <c r="V22" s="1">
        <f t="shared" si="13"/>
        <v>8.0099679601281579</v>
      </c>
      <c r="W22" s="1">
        <f t="shared" si="14"/>
        <v>56.122713599145627</v>
      </c>
      <c r="X22" s="1">
        <f t="shared" si="15"/>
        <v>0.3876824492702029</v>
      </c>
      <c r="Y22" s="1">
        <f t="shared" si="16"/>
        <v>71576229.893254951</v>
      </c>
    </row>
    <row r="23" spans="2:25" x14ac:dyDescent="0.3">
      <c r="B23" s="1">
        <v>2.4</v>
      </c>
      <c r="C23" s="1">
        <v>26</v>
      </c>
      <c r="D23" s="1">
        <v>47.6</v>
      </c>
      <c r="E23" s="2">
        <f t="shared" si="1"/>
        <v>1.7943694481087796E-3</v>
      </c>
      <c r="F23" s="1">
        <v>11</v>
      </c>
      <c r="G23" s="1">
        <v>0.3</v>
      </c>
      <c r="H23" s="3">
        <f t="shared" si="2"/>
        <v>0</v>
      </c>
      <c r="I23" s="1">
        <f t="shared" si="3"/>
        <v>2903.622921634204</v>
      </c>
      <c r="K23" s="1">
        <f t="shared" si="17"/>
        <v>5.4811320754716988</v>
      </c>
      <c r="L23" s="1">
        <f t="shared" si="4"/>
        <v>6.0169811320754647</v>
      </c>
      <c r="M23" s="2">
        <f t="shared" si="5"/>
        <v>-0.10469778330665025</v>
      </c>
      <c r="N23" s="1">
        <f t="shared" si="6"/>
        <v>5.8301886792452828</v>
      </c>
      <c r="O23" s="1">
        <f t="shared" si="7"/>
        <v>-7.508490566037735</v>
      </c>
      <c r="P23" s="1">
        <f t="shared" si="8"/>
        <v>-0.62264150943396224</v>
      </c>
      <c r="Q23" s="1">
        <f t="shared" si="9"/>
        <v>-9614.7671750457084</v>
      </c>
      <c r="S23" s="1">
        <f t="shared" si="10"/>
        <v>30.042808828764691</v>
      </c>
      <c r="T23" s="1">
        <f t="shared" si="11"/>
        <v>36.204061943752144</v>
      </c>
      <c r="U23" s="2">
        <f t="shared" si="12"/>
        <v>1.0961625829326291E-2</v>
      </c>
      <c r="V23" s="1">
        <f t="shared" si="13"/>
        <v>33.991100035599857</v>
      </c>
      <c r="W23" s="1">
        <f t="shared" si="14"/>
        <v>56.377430580277668</v>
      </c>
      <c r="X23" s="1">
        <f t="shared" si="15"/>
        <v>0.3876824492702029</v>
      </c>
      <c r="Y23" s="1">
        <f t="shared" si="16"/>
        <v>92443747.830336437</v>
      </c>
    </row>
    <row r="24" spans="2:25" x14ac:dyDescent="0.3">
      <c r="B24" s="1">
        <v>4.5</v>
      </c>
      <c r="C24" s="1">
        <v>72</v>
      </c>
      <c r="D24" s="1">
        <v>47</v>
      </c>
      <c r="E24" s="2">
        <f t="shared" si="1"/>
        <v>4.7465023080997593E-2</v>
      </c>
      <c r="F24" s="1">
        <v>8</v>
      </c>
      <c r="G24" s="1">
        <v>3.8</v>
      </c>
      <c r="H24" s="3">
        <f t="shared" si="2"/>
        <v>0</v>
      </c>
      <c r="I24" s="1">
        <f t="shared" si="3"/>
        <v>2723.544154507239</v>
      </c>
      <c r="K24" s="1">
        <f t="shared" si="17"/>
        <v>51.481132075471699</v>
      </c>
      <c r="L24" s="1">
        <f t="shared" si="4"/>
        <v>5.4169811320754633</v>
      </c>
      <c r="M24" s="2">
        <f t="shared" si="5"/>
        <v>-5.9027129673761433E-2</v>
      </c>
      <c r="N24" s="1">
        <f t="shared" si="6"/>
        <v>2.8301886792452828</v>
      </c>
      <c r="O24" s="1">
        <f t="shared" si="7"/>
        <v>-4.008490566037735</v>
      </c>
      <c r="P24" s="1">
        <f t="shared" si="8"/>
        <v>-0.62264150943396224</v>
      </c>
      <c r="Q24" s="1">
        <f t="shared" si="9"/>
        <v>-9794.8459421726729</v>
      </c>
      <c r="S24" s="1">
        <f t="shared" si="10"/>
        <v>2650.306959772161</v>
      </c>
      <c r="T24" s="1">
        <f t="shared" si="11"/>
        <v>29.343684585261567</v>
      </c>
      <c r="U24" s="2">
        <f t="shared" si="12"/>
        <v>3.4842020375230476E-3</v>
      </c>
      <c r="V24" s="1">
        <f t="shared" si="13"/>
        <v>8.0099679601281579</v>
      </c>
      <c r="W24" s="1">
        <f t="shared" si="14"/>
        <v>16.06799661801352</v>
      </c>
      <c r="X24" s="1">
        <f t="shared" si="15"/>
        <v>0.3876824492702029</v>
      </c>
      <c r="Y24" s="1">
        <f t="shared" si="16"/>
        <v>95939007.03089647</v>
      </c>
    </row>
    <row r="25" spans="2:25" x14ac:dyDescent="0.3">
      <c r="B25" s="1">
        <v>1.4</v>
      </c>
      <c r="C25" s="1">
        <v>5</v>
      </c>
      <c r="D25" s="1">
        <v>47</v>
      </c>
      <c r="E25" s="2">
        <f t="shared" si="1"/>
        <v>0.23713537918371061</v>
      </c>
      <c r="F25" s="1">
        <v>0</v>
      </c>
      <c r="G25" s="1">
        <v>9.5</v>
      </c>
      <c r="H25" s="3">
        <f t="shared" si="2"/>
        <v>1</v>
      </c>
      <c r="I25" s="1">
        <f t="shared" si="3"/>
        <v>25269.252782975767</v>
      </c>
      <c r="K25" s="1">
        <f t="shared" si="17"/>
        <v>-15.518867924528301</v>
      </c>
      <c r="L25" s="1">
        <f t="shared" si="4"/>
        <v>5.4169811320754633</v>
      </c>
      <c r="M25" s="2">
        <f t="shared" si="5"/>
        <v>0.1306432264289516</v>
      </c>
      <c r="N25" s="1">
        <f t="shared" si="6"/>
        <v>-5.1698113207547172</v>
      </c>
      <c r="O25" s="1">
        <f t="shared" si="7"/>
        <v>1.6915094339622652</v>
      </c>
      <c r="P25" s="1">
        <f t="shared" si="8"/>
        <v>0.37735849056603776</v>
      </c>
      <c r="Q25" s="1">
        <f t="shared" si="9"/>
        <v>12750.862686295855</v>
      </c>
      <c r="S25" s="1">
        <f t="shared" si="10"/>
        <v>240.83526165895336</v>
      </c>
      <c r="T25" s="1">
        <f t="shared" si="11"/>
        <v>29.343684585261567</v>
      </c>
      <c r="U25" s="2">
        <f t="shared" si="12"/>
        <v>1.7067652611766317E-2</v>
      </c>
      <c r="V25" s="1">
        <f t="shared" si="13"/>
        <v>26.726949092203633</v>
      </c>
      <c r="W25" s="1">
        <f t="shared" si="14"/>
        <v>2.8612041651833429</v>
      </c>
      <c r="X25" s="1">
        <f t="shared" si="15"/>
        <v>0.1423994304022784</v>
      </c>
      <c r="Y25" s="1">
        <f t="shared" si="16"/>
        <v>162584499.24477196</v>
      </c>
    </row>
    <row r="26" spans="2:25" x14ac:dyDescent="0.3">
      <c r="B26" s="1">
        <v>1.5</v>
      </c>
      <c r="C26" s="1">
        <v>7</v>
      </c>
      <c r="D26" s="1">
        <v>40.799999999999997</v>
      </c>
      <c r="E26" s="2">
        <f t="shared" si="1"/>
        <v>9.41609684895027E-2</v>
      </c>
      <c r="F26" s="1">
        <v>1</v>
      </c>
      <c r="G26" s="1">
        <v>11.2</v>
      </c>
      <c r="H26" s="3">
        <f t="shared" si="2"/>
        <v>1</v>
      </c>
      <c r="I26" s="1">
        <f t="shared" si="3"/>
        <v>12906.008364318832</v>
      </c>
      <c r="K26" s="1">
        <f t="shared" si="17"/>
        <v>-13.518867924528301</v>
      </c>
      <c r="L26" s="1">
        <f t="shared" si="4"/>
        <v>-0.78301886792453956</v>
      </c>
      <c r="M26" s="2">
        <f t="shared" si="5"/>
        <v>-1.2331184265256326E-2</v>
      </c>
      <c r="N26" s="1">
        <f t="shared" si="6"/>
        <v>-4.1698113207547172</v>
      </c>
      <c r="O26" s="1">
        <f t="shared" si="7"/>
        <v>3.3915094339622645</v>
      </c>
      <c r="P26" s="1">
        <f t="shared" si="8"/>
        <v>0.37735849056603776</v>
      </c>
      <c r="Q26" s="1">
        <f t="shared" si="9"/>
        <v>387.61826763891986</v>
      </c>
      <c r="S26" s="1">
        <f t="shared" si="10"/>
        <v>182.75978996084015</v>
      </c>
      <c r="T26" s="1">
        <f t="shared" si="11"/>
        <v>0.61311854752582751</v>
      </c>
      <c r="U26" s="2">
        <f t="shared" si="12"/>
        <v>1.5205810538370518E-4</v>
      </c>
      <c r="V26" s="1">
        <f t="shared" si="13"/>
        <v>17.3873264506942</v>
      </c>
      <c r="W26" s="1">
        <f t="shared" si="14"/>
        <v>11.502336240655039</v>
      </c>
      <c r="X26" s="1">
        <f t="shared" si="15"/>
        <v>0.1423994304022784</v>
      </c>
      <c r="Y26" s="1">
        <f t="shared" si="16"/>
        <v>150247.92140739731</v>
      </c>
    </row>
    <row r="27" spans="2:25" x14ac:dyDescent="0.3">
      <c r="B27" s="1">
        <v>1.3</v>
      </c>
      <c r="C27" s="1">
        <v>3</v>
      </c>
      <c r="D27" s="1">
        <v>45.1</v>
      </c>
      <c r="E27" s="2">
        <f t="shared" si="1"/>
        <v>1.6565081305560319E-2</v>
      </c>
      <c r="F27" s="1">
        <v>0</v>
      </c>
      <c r="G27" s="1">
        <v>7.6</v>
      </c>
      <c r="H27" s="3">
        <f t="shared" si="2"/>
        <v>1</v>
      </c>
      <c r="I27" s="1">
        <f t="shared" si="3"/>
        <v>16936.752034813177</v>
      </c>
      <c r="K27" s="1">
        <f t="shared" si="17"/>
        <v>-17.518867924528301</v>
      </c>
      <c r="L27" s="1">
        <f t="shared" si="4"/>
        <v>3.5169811320754647</v>
      </c>
      <c r="M27" s="2">
        <f t="shared" si="5"/>
        <v>-8.9927071449198703E-2</v>
      </c>
      <c r="N27" s="1">
        <f t="shared" si="6"/>
        <v>-5.1698113207547172</v>
      </c>
      <c r="O27" s="1">
        <f t="shared" si="7"/>
        <v>-0.20849056603773519</v>
      </c>
      <c r="P27" s="1">
        <f t="shared" si="8"/>
        <v>0.37735849056603776</v>
      </c>
      <c r="Q27" s="1">
        <f t="shared" si="9"/>
        <v>4418.3619381332646</v>
      </c>
      <c r="S27" s="1">
        <f t="shared" si="10"/>
        <v>306.91073335706653</v>
      </c>
      <c r="T27" s="1">
        <f t="shared" si="11"/>
        <v>12.369156283374817</v>
      </c>
      <c r="U27" s="2">
        <f t="shared" si="12"/>
        <v>8.0868781794292879E-3</v>
      </c>
      <c r="V27" s="1">
        <f t="shared" si="13"/>
        <v>26.726949092203633</v>
      </c>
      <c r="W27" s="1">
        <f t="shared" si="14"/>
        <v>4.3468316126735219E-2</v>
      </c>
      <c r="X27" s="1">
        <f t="shared" si="15"/>
        <v>0.1423994304022784</v>
      </c>
      <c r="Y27" s="1">
        <f t="shared" si="16"/>
        <v>19521922.21634474</v>
      </c>
    </row>
    <row r="28" spans="2:25" x14ac:dyDescent="0.3">
      <c r="B28" s="1">
        <v>1.7</v>
      </c>
      <c r="C28" s="1">
        <v>13</v>
      </c>
      <c r="D28" s="1">
        <v>41</v>
      </c>
      <c r="E28" s="2">
        <f t="shared" si="1"/>
        <v>6.8981929505538511E-2</v>
      </c>
      <c r="F28" s="1">
        <v>1</v>
      </c>
      <c r="G28" s="1">
        <v>15</v>
      </c>
      <c r="H28" s="3">
        <f t="shared" si="2"/>
        <v>1</v>
      </c>
      <c r="I28" s="1">
        <f t="shared" si="3"/>
        <v>9046.0239375942692</v>
      </c>
      <c r="K28" s="1">
        <f t="shared" si="17"/>
        <v>-7.5188679245283012</v>
      </c>
      <c r="L28" s="1">
        <f t="shared" si="4"/>
        <v>-0.58301886792453672</v>
      </c>
      <c r="M28" s="2">
        <f t="shared" si="5"/>
        <v>-3.7510223249220515E-2</v>
      </c>
      <c r="N28" s="1">
        <f t="shared" si="6"/>
        <v>-4.1698113207547172</v>
      </c>
      <c r="O28" s="1">
        <f t="shared" si="7"/>
        <v>7.1915094339622652</v>
      </c>
      <c r="P28" s="1">
        <f t="shared" si="8"/>
        <v>0.37735849056603776</v>
      </c>
      <c r="Q28" s="1">
        <f t="shared" si="9"/>
        <v>-3472.3661590856427</v>
      </c>
      <c r="S28" s="1">
        <f t="shared" si="10"/>
        <v>56.533374866500523</v>
      </c>
      <c r="T28" s="1">
        <f t="shared" si="11"/>
        <v>0.33991100035600841</v>
      </c>
      <c r="U28" s="2">
        <f t="shared" si="12"/>
        <v>1.4070168482063633E-3</v>
      </c>
      <c r="V28" s="1">
        <f t="shared" si="13"/>
        <v>17.3873264506942</v>
      </c>
      <c r="W28" s="1">
        <f t="shared" si="14"/>
        <v>51.71780793876826</v>
      </c>
      <c r="X28" s="1">
        <f t="shared" si="15"/>
        <v>0.1423994304022784</v>
      </c>
      <c r="Y28" s="1">
        <f t="shared" si="16"/>
        <v>12057326.742763178</v>
      </c>
    </row>
    <row r="29" spans="2:25" x14ac:dyDescent="0.3">
      <c r="B29" s="1">
        <v>0.8</v>
      </c>
      <c r="C29" s="1">
        <v>3</v>
      </c>
      <c r="D29" s="1">
        <v>42.5</v>
      </c>
      <c r="E29" s="2">
        <f t="shared" si="1"/>
        <v>0.45348877693296663</v>
      </c>
      <c r="F29" s="1">
        <v>1</v>
      </c>
      <c r="G29" s="1">
        <v>3.9</v>
      </c>
      <c r="H29" s="3">
        <f t="shared" si="2"/>
        <v>1</v>
      </c>
      <c r="I29" s="1">
        <f t="shared" si="3"/>
        <v>18132.455392064454</v>
      </c>
      <c r="K29" s="1">
        <f t="shared" si="17"/>
        <v>-17.518867924528301</v>
      </c>
      <c r="L29" s="1">
        <f t="shared" si="4"/>
        <v>0.91698113207546328</v>
      </c>
      <c r="M29" s="2">
        <f t="shared" si="5"/>
        <v>0.34699662417820759</v>
      </c>
      <c r="N29" s="1">
        <f t="shared" si="6"/>
        <v>-4.1698113207547172</v>
      </c>
      <c r="O29" s="1">
        <f t="shared" si="7"/>
        <v>-3.9084905660377349</v>
      </c>
      <c r="P29" s="1">
        <f t="shared" si="8"/>
        <v>0.37735849056603776</v>
      </c>
      <c r="Q29" s="1">
        <f t="shared" si="9"/>
        <v>5614.065295384542</v>
      </c>
      <c r="S29" s="1">
        <f t="shared" si="10"/>
        <v>306.91073335706653</v>
      </c>
      <c r="T29" s="1">
        <f t="shared" si="11"/>
        <v>0.84085439658239824</v>
      </c>
      <c r="U29" s="2">
        <f t="shared" si="12"/>
        <v>0.12040665719107224</v>
      </c>
      <c r="V29" s="1">
        <f t="shared" si="13"/>
        <v>17.3873264506942</v>
      </c>
      <c r="W29" s="1">
        <f t="shared" si="14"/>
        <v>15.276298504805974</v>
      </c>
      <c r="X29" s="1">
        <f t="shared" si="15"/>
        <v>0.1423994304022784</v>
      </c>
      <c r="Y29" s="1">
        <f t="shared" si="16"/>
        <v>31517729.140841123</v>
      </c>
    </row>
    <row r="30" spans="2:25" x14ac:dyDescent="0.3">
      <c r="B30" s="1">
        <v>1.6</v>
      </c>
      <c r="C30" s="1">
        <v>8</v>
      </c>
      <c r="D30" s="1">
        <v>39.799999999999997</v>
      </c>
      <c r="E30" s="2">
        <f t="shared" si="1"/>
        <v>8.2448031239166428E-2</v>
      </c>
      <c r="F30" s="1">
        <v>0</v>
      </c>
      <c r="G30" s="1">
        <v>17.399999999999999</v>
      </c>
      <c r="H30" s="3">
        <f t="shared" si="2"/>
        <v>1</v>
      </c>
      <c r="I30" s="1">
        <f t="shared" si="3"/>
        <v>12665.619445800039</v>
      </c>
      <c r="K30" s="1">
        <f t="shared" si="17"/>
        <v>-12.518867924528301</v>
      </c>
      <c r="L30" s="1">
        <f t="shared" si="4"/>
        <v>-1.7830188679245396</v>
      </c>
      <c r="M30" s="2">
        <f t="shared" si="5"/>
        <v>-2.4044121515592598E-2</v>
      </c>
      <c r="N30" s="1">
        <f t="shared" si="6"/>
        <v>-5.1698113207547172</v>
      </c>
      <c r="O30" s="1">
        <f t="shared" si="7"/>
        <v>9.5915094339622637</v>
      </c>
      <c r="P30" s="1">
        <f t="shared" si="8"/>
        <v>0.37735849056603776</v>
      </c>
      <c r="Q30" s="1">
        <f t="shared" si="9"/>
        <v>147.22934912012715</v>
      </c>
      <c r="S30" s="1">
        <f t="shared" si="10"/>
        <v>156.72205411178354</v>
      </c>
      <c r="T30" s="1">
        <f t="shared" si="11"/>
        <v>3.1791562833749065</v>
      </c>
      <c r="U30" s="2">
        <f t="shared" si="12"/>
        <v>5.7811977945658292E-4</v>
      </c>
      <c r="V30" s="1">
        <f t="shared" si="13"/>
        <v>26.726949092203633</v>
      </c>
      <c r="W30" s="1">
        <f t="shared" si="14"/>
        <v>91.997053221787098</v>
      </c>
      <c r="X30" s="1">
        <f t="shared" si="15"/>
        <v>0.1423994304022784</v>
      </c>
      <c r="Y30" s="1">
        <f t="shared" si="16"/>
        <v>21676.481242336286</v>
      </c>
    </row>
    <row r="31" spans="2:25" x14ac:dyDescent="0.3">
      <c r="B31" s="1">
        <v>4.5</v>
      </c>
      <c r="C31" s="1">
        <v>78</v>
      </c>
      <c r="D31" s="1">
        <v>40.9</v>
      </c>
      <c r="E31" s="2">
        <f t="shared" si="1"/>
        <v>7.468267256606706E-2</v>
      </c>
      <c r="F31" s="1">
        <v>4</v>
      </c>
      <c r="G31" s="1">
        <v>3.5</v>
      </c>
      <c r="H31" s="3">
        <f t="shared" si="2"/>
        <v>0</v>
      </c>
      <c r="I31" s="1">
        <f t="shared" si="3"/>
        <v>3600.9425787297532</v>
      </c>
      <c r="K31" s="1">
        <f t="shared" si="17"/>
        <v>57.481132075471699</v>
      </c>
      <c r="L31" s="1">
        <f t="shared" si="4"/>
        <v>-0.68301886792453814</v>
      </c>
      <c r="M31" s="2">
        <f t="shared" si="5"/>
        <v>-3.1809480188691966E-2</v>
      </c>
      <c r="N31" s="1">
        <f t="shared" si="6"/>
        <v>-1.1698113207547172</v>
      </c>
      <c r="O31" s="1">
        <f t="shared" si="7"/>
        <v>-4.3084905660377348</v>
      </c>
      <c r="P31" s="1">
        <f t="shared" si="8"/>
        <v>-0.62264150943396224</v>
      </c>
      <c r="Q31" s="1">
        <f t="shared" si="9"/>
        <v>-8917.4475179501587</v>
      </c>
      <c r="S31" s="1">
        <f t="shared" si="10"/>
        <v>3304.0805446778213</v>
      </c>
      <c r="T31" s="1">
        <f t="shared" si="11"/>
        <v>0.46651477394091767</v>
      </c>
      <c r="U31" s="2">
        <f t="shared" si="12"/>
        <v>1.0118430298747866E-3</v>
      </c>
      <c r="V31" s="1">
        <f t="shared" si="13"/>
        <v>1.3684585261658957</v>
      </c>
      <c r="W31" s="1">
        <f t="shared" si="14"/>
        <v>18.56309095763616</v>
      </c>
      <c r="X31" s="1">
        <f t="shared" si="15"/>
        <v>0.3876824492702029</v>
      </c>
      <c r="Y31" s="1">
        <f t="shared" si="16"/>
        <v>79520870.235395446</v>
      </c>
    </row>
    <row r="32" spans="2:25" x14ac:dyDescent="0.3">
      <c r="B32" s="1">
        <v>1.5</v>
      </c>
      <c r="C32" s="1">
        <v>5</v>
      </c>
      <c r="D32" s="1">
        <v>45.4</v>
      </c>
      <c r="E32" s="2">
        <f t="shared" si="1"/>
        <v>5.3589693435286911E-2</v>
      </c>
      <c r="F32" s="1">
        <v>2</v>
      </c>
      <c r="G32" s="1">
        <v>7.5</v>
      </c>
      <c r="H32" s="3">
        <f t="shared" si="2"/>
        <v>1</v>
      </c>
      <c r="I32" s="1">
        <f t="shared" si="3"/>
        <v>14058.710432232545</v>
      </c>
      <c r="K32" s="1">
        <f t="shared" si="17"/>
        <v>-15.518867924528301</v>
      </c>
      <c r="L32" s="1">
        <f t="shared" si="4"/>
        <v>3.8169811320754619</v>
      </c>
      <c r="M32" s="2">
        <f t="shared" si="5"/>
        <v>-5.2902459319472114E-2</v>
      </c>
      <c r="N32" s="1">
        <f t="shared" si="6"/>
        <v>-3.1698113207547172</v>
      </c>
      <c r="O32" s="1">
        <f t="shared" si="7"/>
        <v>-0.30849056603773484</v>
      </c>
      <c r="P32" s="1">
        <f t="shared" si="8"/>
        <v>0.37735849056603776</v>
      </c>
      <c r="Q32" s="1">
        <f t="shared" si="9"/>
        <v>1540.320335552633</v>
      </c>
      <c r="S32" s="1">
        <f t="shared" si="10"/>
        <v>240.83526165895336</v>
      </c>
      <c r="T32" s="1">
        <f t="shared" si="11"/>
        <v>14.569344962620075</v>
      </c>
      <c r="U32" s="2">
        <f t="shared" si="12"/>
        <v>2.7986702020484019E-3</v>
      </c>
      <c r="V32" s="1">
        <f t="shared" si="13"/>
        <v>10.047703809184764</v>
      </c>
      <c r="W32" s="1">
        <f t="shared" si="14"/>
        <v>9.5166429334282043E-2</v>
      </c>
      <c r="X32" s="1">
        <f t="shared" si="15"/>
        <v>0.1423994304022784</v>
      </c>
      <c r="Y32" s="1">
        <f t="shared" si="16"/>
        <v>2372586.736116976</v>
      </c>
    </row>
    <row r="33" spans="2:25" x14ac:dyDescent="0.3">
      <c r="B33" s="1">
        <v>1.7</v>
      </c>
      <c r="C33" s="1">
        <v>4</v>
      </c>
      <c r="D33" s="1">
        <v>47.1</v>
      </c>
      <c r="E33" s="2">
        <f t="shared" si="1"/>
        <v>0.117399220538234</v>
      </c>
      <c r="F33" s="1">
        <v>1</v>
      </c>
      <c r="G33" s="1">
        <v>5.6</v>
      </c>
      <c r="H33" s="3">
        <f t="shared" si="2"/>
        <v>1</v>
      </c>
      <c r="I33" s="1">
        <f t="shared" si="3"/>
        <v>24288.633234821576</v>
      </c>
      <c r="K33" s="1">
        <f t="shared" si="17"/>
        <v>-16.518867924528301</v>
      </c>
      <c r="L33" s="1">
        <f t="shared" si="4"/>
        <v>5.5169811320754647</v>
      </c>
      <c r="M33" s="2">
        <f t="shared" si="5"/>
        <v>1.0907067783474972E-2</v>
      </c>
      <c r="N33" s="1">
        <f t="shared" si="6"/>
        <v>-4.1698113207547172</v>
      </c>
      <c r="O33" s="1">
        <f t="shared" si="7"/>
        <v>-2.2084905660377352</v>
      </c>
      <c r="P33" s="1">
        <f t="shared" si="8"/>
        <v>0.37735849056603776</v>
      </c>
      <c r="Q33" s="1">
        <f t="shared" si="9"/>
        <v>11770.243138141665</v>
      </c>
      <c r="S33" s="1">
        <f t="shared" si="10"/>
        <v>272.87299750800997</v>
      </c>
      <c r="T33" s="1">
        <f t="shared" si="11"/>
        <v>30.437080811676676</v>
      </c>
      <c r="U33" s="2">
        <f t="shared" si="12"/>
        <v>1.1896412763331763E-4</v>
      </c>
      <c r="V33" s="1">
        <f t="shared" si="13"/>
        <v>17.3873264506942</v>
      </c>
      <c r="W33" s="1">
        <f t="shared" si="14"/>
        <v>4.8774305802776761</v>
      </c>
      <c r="X33" s="1">
        <f t="shared" si="15"/>
        <v>0.1423994304022784</v>
      </c>
      <c r="Y33" s="1">
        <f t="shared" si="16"/>
        <v>138538623.53097093</v>
      </c>
    </row>
    <row r="34" spans="2:25" x14ac:dyDescent="0.3">
      <c r="B34" s="1">
        <v>2.8</v>
      </c>
      <c r="C34" s="1">
        <v>56</v>
      </c>
      <c r="D34" s="1">
        <v>27.7</v>
      </c>
      <c r="E34" s="2">
        <f t="shared" si="1"/>
        <v>1.0121457489878543E-2</v>
      </c>
      <c r="F34" s="1">
        <v>33</v>
      </c>
      <c r="G34" s="1">
        <v>28.4</v>
      </c>
      <c r="H34" s="3">
        <f t="shared" si="2"/>
        <v>0</v>
      </c>
      <c r="I34" s="1">
        <f t="shared" si="3"/>
        <v>3017.8744939271255</v>
      </c>
      <c r="K34" s="1">
        <f t="shared" si="17"/>
        <v>35.481132075471699</v>
      </c>
      <c r="L34" s="1">
        <f t="shared" si="4"/>
        <v>-13.883018867924537</v>
      </c>
      <c r="M34" s="2">
        <f t="shared" si="5"/>
        <v>-9.6370695264880485E-2</v>
      </c>
      <c r="N34" s="1">
        <f t="shared" si="6"/>
        <v>27.830188679245282</v>
      </c>
      <c r="O34" s="1">
        <f t="shared" si="7"/>
        <v>20.591509433962266</v>
      </c>
      <c r="P34" s="1">
        <f t="shared" si="8"/>
        <v>-0.62264150943396224</v>
      </c>
      <c r="Q34" s="1">
        <f t="shared" si="9"/>
        <v>-9500.5156027527864</v>
      </c>
      <c r="S34" s="1">
        <f t="shared" si="10"/>
        <v>1258.9107333570666</v>
      </c>
      <c r="T34" s="1">
        <f t="shared" si="11"/>
        <v>192.73821288714871</v>
      </c>
      <c r="U34" s="2">
        <f t="shared" si="12"/>
        <v>9.2873109058364579E-3</v>
      </c>
      <c r="V34" s="1">
        <f t="shared" si="13"/>
        <v>774.51940192239226</v>
      </c>
      <c r="W34" s="1">
        <f t="shared" si="14"/>
        <v>424.01026076895698</v>
      </c>
      <c r="X34" s="1">
        <f t="shared" si="15"/>
        <v>0.3876824492702029</v>
      </c>
      <c r="Y34" s="1">
        <f t="shared" si="16"/>
        <v>90259796.71814914</v>
      </c>
    </row>
    <row r="35" spans="2:25" x14ac:dyDescent="0.3">
      <c r="B35" s="1">
        <v>3</v>
      </c>
      <c r="C35" s="1">
        <v>20</v>
      </c>
      <c r="D35" s="1">
        <v>18.600000000000001</v>
      </c>
      <c r="E35" s="2">
        <f t="shared" si="1"/>
        <v>9.7718847319421537E-5</v>
      </c>
      <c r="F35" s="1">
        <v>1</v>
      </c>
      <c r="G35" s="1">
        <v>9.1999999999999993</v>
      </c>
      <c r="H35" s="3">
        <f t="shared" si="2"/>
        <v>1</v>
      </c>
      <c r="I35" s="1">
        <f t="shared" si="3"/>
        <v>11599.283951465628</v>
      </c>
      <c r="K35" s="1">
        <f t="shared" si="17"/>
        <v>-0.51886792452830122</v>
      </c>
      <c r="L35" s="1">
        <f t="shared" si="4"/>
        <v>-22.983018867924535</v>
      </c>
      <c r="M35" s="2">
        <f t="shared" si="5"/>
        <v>-0.10639443390743961</v>
      </c>
      <c r="N35" s="1">
        <f t="shared" si="6"/>
        <v>-4.1698113207547172</v>
      </c>
      <c r="O35" s="1">
        <f t="shared" si="7"/>
        <v>1.3915094339622645</v>
      </c>
      <c r="P35" s="1">
        <f t="shared" si="8"/>
        <v>0.37735849056603776</v>
      </c>
      <c r="Q35" s="1">
        <f t="shared" si="9"/>
        <v>-919.10614521428397</v>
      </c>
      <c r="S35" s="1">
        <f t="shared" si="10"/>
        <v>0.26922392310430687</v>
      </c>
      <c r="T35" s="1">
        <f t="shared" si="11"/>
        <v>528.21915628337524</v>
      </c>
      <c r="U35" s="2">
        <f t="shared" si="12"/>
        <v>1.1319775566484535E-2</v>
      </c>
      <c r="V35" s="1">
        <f t="shared" si="13"/>
        <v>17.3873264506942</v>
      </c>
      <c r="W35" s="1">
        <f t="shared" si="14"/>
        <v>1.9362985048059815</v>
      </c>
      <c r="X35" s="1">
        <f t="shared" si="15"/>
        <v>0.1423994304022784</v>
      </c>
      <c r="Y35" s="1">
        <f t="shared" si="16"/>
        <v>844756.10617066047</v>
      </c>
    </row>
    <row r="36" spans="2:25" x14ac:dyDescent="0.3">
      <c r="B36" s="1">
        <v>1.5</v>
      </c>
      <c r="C36" s="1">
        <v>7</v>
      </c>
      <c r="D36" s="1">
        <v>16.399999999999999</v>
      </c>
      <c r="E36" s="2">
        <f t="shared" si="1"/>
        <v>1.0110812482647318E-2</v>
      </c>
      <c r="F36" s="1">
        <v>0</v>
      </c>
      <c r="G36" s="1">
        <v>3.2</v>
      </c>
      <c r="H36" s="3">
        <f t="shared" si="2"/>
        <v>1</v>
      </c>
      <c r="I36" s="1">
        <f t="shared" si="3"/>
        <v>19616.193558158709</v>
      </c>
      <c r="K36" s="1">
        <f t="shared" si="17"/>
        <v>-13.518867924528301</v>
      </c>
      <c r="L36" s="1">
        <f t="shared" si="4"/>
        <v>-25.183018867924538</v>
      </c>
      <c r="M36" s="2">
        <f t="shared" si="5"/>
        <v>-9.6381340272111704E-2</v>
      </c>
      <c r="N36" s="1">
        <f t="shared" si="6"/>
        <v>-5.1698113207547172</v>
      </c>
      <c r="O36" s="1">
        <f t="shared" si="7"/>
        <v>-4.6084905660377347</v>
      </c>
      <c r="P36" s="1">
        <f t="shared" si="8"/>
        <v>0.37735849056603776</v>
      </c>
      <c r="Q36" s="1">
        <f t="shared" si="9"/>
        <v>7097.8034614787975</v>
      </c>
      <c r="S36" s="1">
        <f t="shared" si="10"/>
        <v>182.75978996084015</v>
      </c>
      <c r="T36" s="1">
        <f t="shared" si="11"/>
        <v>634.18443930224328</v>
      </c>
      <c r="U36" s="2">
        <f t="shared" si="12"/>
        <v>9.2893627526485813E-3</v>
      </c>
      <c r="V36" s="1">
        <f t="shared" si="13"/>
        <v>26.726949092203633</v>
      </c>
      <c r="W36" s="1">
        <f t="shared" si="14"/>
        <v>21.238185297258799</v>
      </c>
      <c r="X36" s="1">
        <f t="shared" si="15"/>
        <v>0.1423994304022784</v>
      </c>
      <c r="Y36" s="1">
        <f t="shared" si="16"/>
        <v>50378813.977780402</v>
      </c>
    </row>
    <row r="37" spans="2:25" x14ac:dyDescent="0.3">
      <c r="B37" s="1">
        <v>2.1</v>
      </c>
      <c r="C37" s="1">
        <v>13</v>
      </c>
      <c r="D37" s="1">
        <v>40.5</v>
      </c>
      <c r="E37" s="2">
        <f t="shared" si="1"/>
        <v>5.2145167157568069E-2</v>
      </c>
      <c r="F37" s="1">
        <v>1</v>
      </c>
      <c r="G37" s="1">
        <v>6.1</v>
      </c>
      <c r="H37" s="3">
        <f t="shared" si="2"/>
        <v>1</v>
      </c>
      <c r="I37" s="1">
        <f t="shared" si="3"/>
        <v>6147.2866318949091</v>
      </c>
      <c r="K37" s="1">
        <f t="shared" si="17"/>
        <v>-7.5188679245283012</v>
      </c>
      <c r="L37" s="1">
        <f t="shared" si="4"/>
        <v>-1.0830188679245367</v>
      </c>
      <c r="M37" s="2">
        <f t="shared" si="5"/>
        <v>-5.4346985597190957E-2</v>
      </c>
      <c r="N37" s="1">
        <f t="shared" si="6"/>
        <v>-4.1698113207547172</v>
      </c>
      <c r="O37" s="1">
        <f t="shared" si="7"/>
        <v>-1.7084905660377352</v>
      </c>
      <c r="P37" s="1">
        <f t="shared" si="8"/>
        <v>0.37735849056603776</v>
      </c>
      <c r="Q37" s="1">
        <f t="shared" si="9"/>
        <v>-6371.1034647850029</v>
      </c>
      <c r="S37" s="1">
        <f t="shared" si="10"/>
        <v>56.533374866500523</v>
      </c>
      <c r="T37" s="1">
        <f t="shared" si="11"/>
        <v>1.1729298682805451</v>
      </c>
      <c r="U37" s="2">
        <f t="shared" si="12"/>
        <v>2.9535948435012813E-3</v>
      </c>
      <c r="V37" s="1">
        <f t="shared" si="13"/>
        <v>17.3873264506942</v>
      </c>
      <c r="W37" s="1">
        <f t="shared" si="14"/>
        <v>2.9189400142399409</v>
      </c>
      <c r="X37" s="1">
        <f t="shared" si="15"/>
        <v>0.1423994304022784</v>
      </c>
      <c r="Y37" s="1">
        <f t="shared" si="16"/>
        <v>40590959.358995467</v>
      </c>
    </row>
    <row r="38" spans="2:25" x14ac:dyDescent="0.3">
      <c r="B38" s="1">
        <v>1.2</v>
      </c>
      <c r="C38" s="1">
        <v>3</v>
      </c>
      <c r="D38" s="1">
        <v>46.8</v>
      </c>
      <c r="E38" s="2">
        <f t="shared" si="1"/>
        <v>0.21794563969483505</v>
      </c>
      <c r="F38" s="1">
        <v>2</v>
      </c>
      <c r="G38" s="1">
        <v>15.5</v>
      </c>
      <c r="H38" s="3">
        <f t="shared" si="2"/>
        <v>1</v>
      </c>
      <c r="I38" s="1">
        <f t="shared" si="3"/>
        <v>18904.456780866331</v>
      </c>
      <c r="K38" s="1">
        <f t="shared" si="17"/>
        <v>-17.518867924528301</v>
      </c>
      <c r="L38" s="1">
        <f t="shared" si="4"/>
        <v>5.2169811320754604</v>
      </c>
      <c r="M38" s="2">
        <f t="shared" si="5"/>
        <v>0.11145348694007602</v>
      </c>
      <c r="N38" s="1">
        <f t="shared" si="6"/>
        <v>-3.1698113207547172</v>
      </c>
      <c r="O38" s="1">
        <f t="shared" si="7"/>
        <v>7.6915094339622652</v>
      </c>
      <c r="P38" s="1">
        <f t="shared" si="8"/>
        <v>0.37735849056603776</v>
      </c>
      <c r="Q38" s="1">
        <f t="shared" si="9"/>
        <v>6386.0666841864186</v>
      </c>
      <c r="S38" s="1">
        <f t="shared" si="10"/>
        <v>306.91073335706653</v>
      </c>
      <c r="T38" s="1">
        <f t="shared" si="11"/>
        <v>27.216892132431354</v>
      </c>
      <c r="U38" s="2">
        <f t="shared" si="12"/>
        <v>1.2421879751101697E-2</v>
      </c>
      <c r="V38" s="1">
        <f t="shared" si="13"/>
        <v>10.047703809184764</v>
      </c>
      <c r="W38" s="1">
        <f t="shared" si="14"/>
        <v>59.159317372730527</v>
      </c>
      <c r="X38" s="1">
        <f t="shared" si="15"/>
        <v>0.1423994304022784</v>
      </c>
      <c r="Y38" s="1">
        <f t="shared" si="16"/>
        <v>40781847.694875717</v>
      </c>
    </row>
    <row r="39" spans="2:25" x14ac:dyDescent="0.3">
      <c r="B39" s="1">
        <v>1.6</v>
      </c>
      <c r="C39" s="1">
        <v>2</v>
      </c>
      <c r="D39" s="1">
        <v>48.3</v>
      </c>
      <c r="E39" s="2">
        <f t="shared" si="1"/>
        <v>0.58045961847972349</v>
      </c>
      <c r="F39" s="1">
        <v>2</v>
      </c>
      <c r="G39" s="1">
        <v>6.8</v>
      </c>
      <c r="H39" s="3">
        <f t="shared" si="2"/>
        <v>1</v>
      </c>
      <c r="I39" s="1">
        <f t="shared" si="3"/>
        <v>19234.954222843724</v>
      </c>
      <c r="K39" s="1">
        <f t="shared" si="17"/>
        <v>-18.518867924528301</v>
      </c>
      <c r="L39" s="1">
        <f t="shared" si="4"/>
        <v>6.7169811320754604</v>
      </c>
      <c r="M39" s="2">
        <f t="shared" si="5"/>
        <v>0.47396746572496445</v>
      </c>
      <c r="N39" s="1">
        <f t="shared" si="6"/>
        <v>-3.1698113207547172</v>
      </c>
      <c r="O39" s="1">
        <f t="shared" si="7"/>
        <v>-1.008490566037735</v>
      </c>
      <c r="P39" s="1">
        <f t="shared" si="8"/>
        <v>0.37735849056603776</v>
      </c>
      <c r="Q39" s="1">
        <f t="shared" si="9"/>
        <v>6716.564126163812</v>
      </c>
      <c r="S39" s="1">
        <f t="shared" si="10"/>
        <v>342.94846920612315</v>
      </c>
      <c r="T39" s="1">
        <f t="shared" si="11"/>
        <v>45.117835528657736</v>
      </c>
      <c r="U39" s="2">
        <f t="shared" si="12"/>
        <v>0.22464515856574535</v>
      </c>
      <c r="V39" s="1">
        <f t="shared" si="13"/>
        <v>10.047703809184764</v>
      </c>
      <c r="W39" s="1">
        <f t="shared" si="14"/>
        <v>1.0170532217871111</v>
      </c>
      <c r="X39" s="1">
        <f t="shared" si="15"/>
        <v>0.1423994304022784</v>
      </c>
      <c r="Y39" s="1">
        <f t="shared" si="16"/>
        <v>45112233.660870649</v>
      </c>
    </row>
    <row r="40" spans="2:25" x14ac:dyDescent="0.3">
      <c r="B40" s="1">
        <v>1.6</v>
      </c>
      <c r="C40" s="1">
        <v>6</v>
      </c>
      <c r="D40" s="1">
        <v>46.2</v>
      </c>
      <c r="E40" s="2">
        <f t="shared" si="1"/>
        <v>0.18824622646300196</v>
      </c>
      <c r="F40" s="1">
        <v>2</v>
      </c>
      <c r="G40" s="1">
        <v>8.1</v>
      </c>
      <c r="H40" s="3">
        <f t="shared" si="2"/>
        <v>1</v>
      </c>
      <c r="I40" s="1">
        <f t="shared" si="3"/>
        <v>42439.43351378174</v>
      </c>
      <c r="K40" s="1">
        <f t="shared" si="17"/>
        <v>-14.518867924528301</v>
      </c>
      <c r="L40" s="1">
        <f t="shared" si="4"/>
        <v>4.6169811320754661</v>
      </c>
      <c r="M40" s="2">
        <f t="shared" si="5"/>
        <v>8.1754073708242933E-2</v>
      </c>
      <c r="N40" s="1">
        <f t="shared" si="6"/>
        <v>-3.1698113207547172</v>
      </c>
      <c r="O40" s="1">
        <f t="shared" si="7"/>
        <v>0.29150943396226481</v>
      </c>
      <c r="P40" s="1">
        <f t="shared" si="8"/>
        <v>0.37735849056603776</v>
      </c>
      <c r="Q40" s="1">
        <f t="shared" si="9"/>
        <v>29921.043417101828</v>
      </c>
      <c r="S40" s="1">
        <f t="shared" si="10"/>
        <v>210.79752580989674</v>
      </c>
      <c r="T40" s="1">
        <f t="shared" si="11"/>
        <v>21.316514773940852</v>
      </c>
      <c r="U40" s="2">
        <f t="shared" si="12"/>
        <v>6.6837285678928186E-3</v>
      </c>
      <c r="V40" s="1">
        <f t="shared" si="13"/>
        <v>10.047703809184764</v>
      </c>
      <c r="W40" s="1">
        <f t="shared" si="14"/>
        <v>8.497775008900002E-2</v>
      </c>
      <c r="X40" s="1">
        <f t="shared" si="15"/>
        <v>0.1423994304022784</v>
      </c>
      <c r="Y40" s="1">
        <f t="shared" si="16"/>
        <v>895268839.16809261</v>
      </c>
    </row>
    <row r="41" spans="2:25" x14ac:dyDescent="0.3">
      <c r="B41" s="1">
        <v>4.2</v>
      </c>
      <c r="C41" s="1">
        <v>49</v>
      </c>
      <c r="D41" s="1">
        <v>46</v>
      </c>
      <c r="E41" s="2">
        <f t="shared" si="1"/>
        <v>5.2190437897606332E-4</v>
      </c>
      <c r="F41" s="1">
        <v>13</v>
      </c>
      <c r="G41" s="1">
        <v>3.2</v>
      </c>
      <c r="H41" s="3">
        <f t="shared" si="2"/>
        <v>0</v>
      </c>
      <c r="I41" s="1">
        <f t="shared" si="3"/>
        <v>1610.4026781070891</v>
      </c>
      <c r="K41" s="1">
        <f t="shared" si="17"/>
        <v>28.481132075471699</v>
      </c>
      <c r="L41" s="1">
        <f t="shared" si="4"/>
        <v>4.4169811320754633</v>
      </c>
      <c r="M41" s="2">
        <f t="shared" si="5"/>
        <v>-0.10597024837578296</v>
      </c>
      <c r="N41" s="1">
        <f t="shared" si="6"/>
        <v>7.8301886792452828</v>
      </c>
      <c r="O41" s="1">
        <f t="shared" si="7"/>
        <v>-4.6084905660377347</v>
      </c>
      <c r="P41" s="1">
        <f t="shared" si="8"/>
        <v>-0.62264150943396224</v>
      </c>
      <c r="Q41" s="1">
        <f t="shared" si="9"/>
        <v>-10907.987418572822</v>
      </c>
      <c r="S41" s="1">
        <f t="shared" si="10"/>
        <v>811.17488430046285</v>
      </c>
      <c r="T41" s="1">
        <f t="shared" si="11"/>
        <v>19.50972232111064</v>
      </c>
      <c r="U41" s="2">
        <f t="shared" si="12"/>
        <v>1.1229693540825132E-2</v>
      </c>
      <c r="V41" s="1">
        <f t="shared" si="13"/>
        <v>61.311854752580984</v>
      </c>
      <c r="W41" s="1">
        <f t="shared" si="14"/>
        <v>21.238185297258799</v>
      </c>
      <c r="X41" s="1">
        <f t="shared" si="15"/>
        <v>0.3876824492702029</v>
      </c>
      <c r="Y41" s="1">
        <f t="shared" si="16"/>
        <v>118984189.52374299</v>
      </c>
    </row>
    <row r="42" spans="2:25" x14ac:dyDescent="0.3">
      <c r="B42" s="1">
        <v>2.5</v>
      </c>
      <c r="C42" s="1">
        <v>27</v>
      </c>
      <c r="D42" s="1">
        <v>33.5</v>
      </c>
      <c r="E42" s="2">
        <f t="shared" si="1"/>
        <v>1.1155174048603094E-2</v>
      </c>
      <c r="F42" s="1">
        <v>1</v>
      </c>
      <c r="G42" s="1">
        <v>4.7</v>
      </c>
      <c r="H42" s="3">
        <f t="shared" si="2"/>
        <v>1</v>
      </c>
      <c r="I42" s="1">
        <f t="shared" si="3"/>
        <v>7161.8225323360612</v>
      </c>
      <c r="K42" s="1">
        <f t="shared" si="17"/>
        <v>6.4811320754716988</v>
      </c>
      <c r="L42" s="1">
        <f t="shared" si="4"/>
        <v>-8.0830188679245367</v>
      </c>
      <c r="M42" s="2">
        <f t="shared" si="5"/>
        <v>-9.5336978706155928E-2</v>
      </c>
      <c r="N42" s="1">
        <f t="shared" si="6"/>
        <v>-4.1698113207547172</v>
      </c>
      <c r="O42" s="1">
        <f t="shared" si="7"/>
        <v>-3.1084905660377347</v>
      </c>
      <c r="P42" s="1">
        <f t="shared" si="8"/>
        <v>0.37735849056603776</v>
      </c>
      <c r="Q42" s="1">
        <f t="shared" si="9"/>
        <v>-5356.5675643438508</v>
      </c>
      <c r="S42" s="1">
        <f t="shared" si="10"/>
        <v>42.005072979708089</v>
      </c>
      <c r="T42" s="1">
        <f t="shared" si="11"/>
        <v>65.335194019224062</v>
      </c>
      <c r="U42" s="2">
        <f t="shared" si="12"/>
        <v>9.0891395088180289E-3</v>
      </c>
      <c r="V42" s="1">
        <f t="shared" si="13"/>
        <v>17.3873264506942</v>
      </c>
      <c r="W42" s="1">
        <f t="shared" si="14"/>
        <v>9.6627135991455955</v>
      </c>
      <c r="X42" s="1">
        <f t="shared" si="15"/>
        <v>0.1423994304022784</v>
      </c>
      <c r="Y42" s="1">
        <f t="shared" si="16"/>
        <v>28692816.071380615</v>
      </c>
    </row>
    <row r="43" spans="2:25" x14ac:dyDescent="0.3">
      <c r="B43" s="1">
        <v>1.4</v>
      </c>
      <c r="C43" s="1">
        <v>2</v>
      </c>
      <c r="D43" s="1">
        <v>47.7</v>
      </c>
      <c r="E43" s="2">
        <f t="shared" si="1"/>
        <v>0.20574943328664866</v>
      </c>
      <c r="F43" s="1">
        <v>2</v>
      </c>
      <c r="G43" s="1">
        <v>7.8</v>
      </c>
      <c r="H43" s="3">
        <f t="shared" si="2"/>
        <v>1</v>
      </c>
      <c r="I43" s="1">
        <f t="shared" si="3"/>
        <v>23737.887855729939</v>
      </c>
      <c r="K43" s="1">
        <f t="shared" si="17"/>
        <v>-18.518867924528301</v>
      </c>
      <c r="L43" s="1">
        <f t="shared" si="4"/>
        <v>6.1169811320754661</v>
      </c>
      <c r="M43" s="2">
        <f t="shared" si="5"/>
        <v>9.9257280531889633E-2</v>
      </c>
      <c r="N43" s="1">
        <f t="shared" si="6"/>
        <v>-3.1698113207547172</v>
      </c>
      <c r="O43" s="1">
        <f t="shared" si="7"/>
        <v>-8.4905660377350145E-3</v>
      </c>
      <c r="P43" s="1">
        <f t="shared" si="8"/>
        <v>0.37735849056603776</v>
      </c>
      <c r="Q43" s="1">
        <f t="shared" si="9"/>
        <v>11219.497759050028</v>
      </c>
      <c r="S43" s="1">
        <f t="shared" si="10"/>
        <v>342.94846920612315</v>
      </c>
      <c r="T43" s="1">
        <f t="shared" si="11"/>
        <v>37.417458170167251</v>
      </c>
      <c r="U43" s="2">
        <f t="shared" si="12"/>
        <v>9.8520077385862367E-3</v>
      </c>
      <c r="V43" s="1">
        <f t="shared" si="13"/>
        <v>10.047703809184764</v>
      </c>
      <c r="W43" s="1">
        <f t="shared" si="14"/>
        <v>7.2089711641139267E-5</v>
      </c>
      <c r="X43" s="1">
        <f t="shared" si="15"/>
        <v>0.1423994304022784</v>
      </c>
      <c r="Y43" s="1">
        <f t="shared" si="16"/>
        <v>125877129.96532859</v>
      </c>
    </row>
    <row r="44" spans="2:25" x14ac:dyDescent="0.3">
      <c r="B44" s="1">
        <v>1.8</v>
      </c>
      <c r="C44" s="1">
        <v>4</v>
      </c>
      <c r="D44" s="1">
        <v>48.5</v>
      </c>
      <c r="E44" s="2">
        <f t="shared" si="1"/>
        <v>0.31539813199816102</v>
      </c>
      <c r="F44" s="1">
        <v>0</v>
      </c>
      <c r="G44" s="1">
        <v>8</v>
      </c>
      <c r="H44" s="3">
        <f t="shared" si="2"/>
        <v>1</v>
      </c>
      <c r="I44" s="1">
        <f t="shared" si="3"/>
        <v>22484.988116394961</v>
      </c>
      <c r="K44" s="1">
        <f t="shared" si="17"/>
        <v>-16.518867924528301</v>
      </c>
      <c r="L44" s="1">
        <f t="shared" si="4"/>
        <v>6.9169811320754633</v>
      </c>
      <c r="M44" s="2">
        <f t="shared" si="5"/>
        <v>0.20890597924340198</v>
      </c>
      <c r="N44" s="1">
        <f t="shared" si="6"/>
        <v>-5.1698113207547172</v>
      </c>
      <c r="O44" s="1">
        <f t="shared" si="7"/>
        <v>0.19150943396226516</v>
      </c>
      <c r="P44" s="1">
        <f t="shared" si="8"/>
        <v>0.37735849056603776</v>
      </c>
      <c r="Q44" s="1">
        <f t="shared" si="9"/>
        <v>9966.5980197150493</v>
      </c>
      <c r="S44" s="1">
        <f t="shared" si="10"/>
        <v>272.87299750800997</v>
      </c>
      <c r="T44" s="1">
        <f t="shared" si="11"/>
        <v>47.84462798148796</v>
      </c>
      <c r="U44" s="2">
        <f t="shared" si="12"/>
        <v>4.3641708163644703E-2</v>
      </c>
      <c r="V44" s="1">
        <f t="shared" si="13"/>
        <v>26.726949092203633</v>
      </c>
      <c r="W44" s="1">
        <f t="shared" si="14"/>
        <v>3.66758632965472E-2</v>
      </c>
      <c r="X44" s="1">
        <f t="shared" si="15"/>
        <v>0.1423994304022784</v>
      </c>
      <c r="Y44" s="1">
        <f t="shared" si="16"/>
        <v>99333076.086587936</v>
      </c>
    </row>
    <row r="45" spans="2:25" x14ac:dyDescent="0.3">
      <c r="B45" s="1">
        <v>3.5</v>
      </c>
      <c r="C45" s="1">
        <v>42</v>
      </c>
      <c r="D45" s="1">
        <v>39.299999999999997</v>
      </c>
      <c r="E45" s="2">
        <f t="shared" si="1"/>
        <v>4.9421898573684007E-3</v>
      </c>
      <c r="F45" s="1">
        <v>23</v>
      </c>
      <c r="G45" s="1">
        <v>22</v>
      </c>
      <c r="H45" s="3">
        <f t="shared" si="2"/>
        <v>0</v>
      </c>
      <c r="I45" s="1">
        <f t="shared" si="3"/>
        <v>5064.9268960262098</v>
      </c>
      <c r="K45" s="1">
        <f t="shared" si="17"/>
        <v>21.481132075471699</v>
      </c>
      <c r="L45" s="1">
        <f t="shared" si="4"/>
        <v>-2.2830188679245396</v>
      </c>
      <c r="M45" s="2">
        <f t="shared" si="5"/>
        <v>-0.10154996289739063</v>
      </c>
      <c r="N45" s="1">
        <f t="shared" si="6"/>
        <v>17.830188679245282</v>
      </c>
      <c r="O45" s="1">
        <f t="shared" si="7"/>
        <v>14.191509433962265</v>
      </c>
      <c r="P45" s="1">
        <f t="shared" si="8"/>
        <v>-0.62264150943396224</v>
      </c>
      <c r="Q45" s="1">
        <f t="shared" si="9"/>
        <v>-7453.4632006537022</v>
      </c>
      <c r="S45" s="1">
        <f t="shared" si="10"/>
        <v>461.43903524385905</v>
      </c>
      <c r="T45" s="1">
        <f t="shared" si="11"/>
        <v>5.2121751512994461</v>
      </c>
      <c r="U45" s="2">
        <f t="shared" si="12"/>
        <v>1.0312394964461413E-2</v>
      </c>
      <c r="V45" s="1">
        <f t="shared" si="13"/>
        <v>317.91562833748662</v>
      </c>
      <c r="W45" s="1">
        <f t="shared" si="14"/>
        <v>201.39894001423997</v>
      </c>
      <c r="X45" s="1">
        <f t="shared" si="15"/>
        <v>0.3876824492702029</v>
      </c>
      <c r="Y45" s="1">
        <f t="shared" si="16"/>
        <v>55554113.683498934</v>
      </c>
    </row>
    <row r="46" spans="2:25" x14ac:dyDescent="0.3">
      <c r="B46" s="1">
        <v>4.8</v>
      </c>
      <c r="C46" s="1">
        <v>49</v>
      </c>
      <c r="D46" s="1">
        <v>43.1</v>
      </c>
      <c r="E46" s="2">
        <f t="shared" si="1"/>
        <v>4.1379287514875856E-3</v>
      </c>
      <c r="F46" s="1">
        <v>13</v>
      </c>
      <c r="G46" s="1">
        <v>11.1</v>
      </c>
      <c r="H46" s="3">
        <f t="shared" si="2"/>
        <v>0</v>
      </c>
      <c r="I46" s="1">
        <f t="shared" si="3"/>
        <v>1968.8389137440477</v>
      </c>
      <c r="K46" s="1">
        <f t="shared" si="17"/>
        <v>28.481132075471699</v>
      </c>
      <c r="L46" s="1">
        <f t="shared" si="4"/>
        <v>1.5169811320754647</v>
      </c>
      <c r="M46" s="2">
        <f t="shared" si="5"/>
        <v>-0.10235422400327145</v>
      </c>
      <c r="N46" s="1">
        <f t="shared" si="6"/>
        <v>7.8301886792452828</v>
      </c>
      <c r="O46" s="1">
        <f t="shared" si="7"/>
        <v>3.2915094339622648</v>
      </c>
      <c r="P46" s="1">
        <f t="shared" si="8"/>
        <v>-0.62264150943396224</v>
      </c>
      <c r="Q46" s="1">
        <f t="shared" si="9"/>
        <v>-10549.551182935864</v>
      </c>
      <c r="S46" s="1">
        <f t="shared" si="10"/>
        <v>811.17488430046285</v>
      </c>
      <c r="T46" s="1">
        <f t="shared" si="11"/>
        <v>2.3012317550729584</v>
      </c>
      <c r="U46" s="2">
        <f t="shared" si="12"/>
        <v>1.0476387171311869E-2</v>
      </c>
      <c r="V46" s="1">
        <f t="shared" si="13"/>
        <v>61.311854752580984</v>
      </c>
      <c r="W46" s="1">
        <f t="shared" si="14"/>
        <v>10.834034353862588</v>
      </c>
      <c r="X46" s="1">
        <f t="shared" si="15"/>
        <v>0.3876824492702029</v>
      </c>
      <c r="Y46" s="1">
        <f t="shared" si="16"/>
        <v>111293030.16138348</v>
      </c>
    </row>
    <row r="47" spans="2:25" x14ac:dyDescent="0.3">
      <c r="B47" s="1">
        <v>2</v>
      </c>
      <c r="C47" s="1">
        <v>9</v>
      </c>
      <c r="D47" s="1">
        <v>46.4</v>
      </c>
      <c r="E47" s="2">
        <f t="shared" si="1"/>
        <v>7.5203670340198842E-3</v>
      </c>
      <c r="F47" s="1">
        <v>1</v>
      </c>
      <c r="G47" s="1">
        <v>18.5</v>
      </c>
      <c r="H47" s="3">
        <f t="shared" si="2"/>
        <v>1</v>
      </c>
      <c r="I47" s="1">
        <f t="shared" si="3"/>
        <v>10056.999368539848</v>
      </c>
      <c r="K47" s="1">
        <f t="shared" si="17"/>
        <v>-11.518867924528301</v>
      </c>
      <c r="L47" s="1">
        <f t="shared" si="4"/>
        <v>4.8169811320754619</v>
      </c>
      <c r="M47" s="2">
        <f t="shared" si="5"/>
        <v>-9.8971785720739142E-2</v>
      </c>
      <c r="N47" s="1">
        <f t="shared" si="6"/>
        <v>-4.1698113207547172</v>
      </c>
      <c r="O47" s="1">
        <f t="shared" si="7"/>
        <v>10.691509433962265</v>
      </c>
      <c r="P47" s="1">
        <f t="shared" si="8"/>
        <v>0.37735849056603776</v>
      </c>
      <c r="Q47" s="1">
        <f t="shared" si="9"/>
        <v>-2461.3907281400643</v>
      </c>
      <c r="S47" s="1">
        <f t="shared" si="10"/>
        <v>132.68431826272695</v>
      </c>
      <c r="T47" s="1">
        <f t="shared" si="11"/>
        <v>23.203307226770999</v>
      </c>
      <c r="U47" s="2">
        <f t="shared" si="12"/>
        <v>9.7954143687519046E-3</v>
      </c>
      <c r="V47" s="1">
        <f t="shared" si="13"/>
        <v>17.3873264506942</v>
      </c>
      <c r="W47" s="1">
        <f t="shared" si="14"/>
        <v>114.30837397650411</v>
      </c>
      <c r="X47" s="1">
        <f t="shared" si="15"/>
        <v>0.1423994304022784</v>
      </c>
      <c r="Y47" s="1">
        <f t="shared" si="16"/>
        <v>6058444.316573876</v>
      </c>
    </row>
    <row r="48" spans="2:25" x14ac:dyDescent="0.3">
      <c r="B48" s="1">
        <v>3.6</v>
      </c>
      <c r="C48" s="1">
        <v>45</v>
      </c>
      <c r="D48" s="1">
        <v>47.8</v>
      </c>
      <c r="E48" s="2">
        <f t="shared" si="1"/>
        <v>3.7331517391016103E-2</v>
      </c>
      <c r="F48" s="1">
        <v>6</v>
      </c>
      <c r="G48" s="1">
        <v>4.7</v>
      </c>
      <c r="H48" s="3">
        <f t="shared" si="2"/>
        <v>0</v>
      </c>
      <c r="I48" s="1">
        <f t="shared" si="3"/>
        <v>4204.7292596065899</v>
      </c>
      <c r="K48" s="1">
        <f t="shared" si="17"/>
        <v>24.481132075471699</v>
      </c>
      <c r="L48" s="1">
        <f t="shared" si="4"/>
        <v>6.2169811320754604</v>
      </c>
      <c r="M48" s="2">
        <f t="shared" si="5"/>
        <v>-6.9160635363742923E-2</v>
      </c>
      <c r="N48" s="1">
        <f t="shared" si="6"/>
        <v>0.83018867924528283</v>
      </c>
      <c r="O48" s="1">
        <f t="shared" si="7"/>
        <v>-3.1084905660377347</v>
      </c>
      <c r="P48" s="1">
        <f t="shared" si="8"/>
        <v>-0.62264150943396224</v>
      </c>
      <c r="Q48" s="1">
        <f t="shared" si="9"/>
        <v>-8313.6608370733229</v>
      </c>
      <c r="S48" s="1">
        <f t="shared" si="10"/>
        <v>599.3258276966892</v>
      </c>
      <c r="T48" s="1">
        <f t="shared" si="11"/>
        <v>38.650854396582275</v>
      </c>
      <c r="U48" s="2">
        <f t="shared" si="12"/>
        <v>4.783193483916608E-3</v>
      </c>
      <c r="V48" s="1">
        <f t="shared" si="13"/>
        <v>0.68921324314702714</v>
      </c>
      <c r="W48" s="1">
        <f t="shared" si="14"/>
        <v>9.6627135991455955</v>
      </c>
      <c r="X48" s="1">
        <f t="shared" si="15"/>
        <v>0.3876824492702029</v>
      </c>
      <c r="Y48" s="1">
        <f t="shared" si="16"/>
        <v>69116956.513886705</v>
      </c>
    </row>
    <row r="49" spans="2:25" x14ac:dyDescent="0.3">
      <c r="B49" s="1">
        <v>1.3</v>
      </c>
      <c r="C49" s="1">
        <v>4</v>
      </c>
      <c r="D49" s="1">
        <v>43.8</v>
      </c>
      <c r="E49" s="2">
        <f t="shared" si="1"/>
        <v>6.6199407582460956E-2</v>
      </c>
      <c r="F49" s="1">
        <v>0</v>
      </c>
      <c r="G49" s="1">
        <v>16.3</v>
      </c>
      <c r="H49" s="3">
        <f t="shared" si="2"/>
        <v>1</v>
      </c>
      <c r="I49" s="1">
        <f t="shared" si="3"/>
        <v>17228.974348593034</v>
      </c>
      <c r="K49" s="1">
        <f t="shared" si="17"/>
        <v>-16.518867924528301</v>
      </c>
      <c r="L49" s="1">
        <f t="shared" si="4"/>
        <v>2.2169811320754604</v>
      </c>
      <c r="M49" s="2">
        <f t="shared" si="5"/>
        <v>-4.029274517229807E-2</v>
      </c>
      <c r="N49" s="1">
        <f t="shared" si="6"/>
        <v>-5.1698113207547172</v>
      </c>
      <c r="O49" s="1">
        <f t="shared" si="7"/>
        <v>8.4915094339622659</v>
      </c>
      <c r="P49" s="1">
        <f t="shared" si="8"/>
        <v>0.37735849056603776</v>
      </c>
      <c r="Q49" s="1">
        <f t="shared" si="9"/>
        <v>4710.584251913122</v>
      </c>
      <c r="S49" s="1">
        <f t="shared" si="10"/>
        <v>272.87299750800997</v>
      </c>
      <c r="T49" s="1">
        <f t="shared" si="11"/>
        <v>4.91500533997859</v>
      </c>
      <c r="U49" s="2">
        <f t="shared" si="12"/>
        <v>1.6235053135197494E-3</v>
      </c>
      <c r="V49" s="1">
        <f t="shared" si="13"/>
        <v>26.726949092203633</v>
      </c>
      <c r="W49" s="1">
        <f t="shared" si="14"/>
        <v>72.105732467070155</v>
      </c>
      <c r="X49" s="1">
        <f t="shared" si="15"/>
        <v>0.1423994304022784</v>
      </c>
      <c r="Y49" s="1">
        <f t="shared" si="16"/>
        <v>22189603.994371906</v>
      </c>
    </row>
    <row r="50" spans="2:25" x14ac:dyDescent="0.3">
      <c r="B50" s="1">
        <v>2.5</v>
      </c>
      <c r="C50" s="1">
        <v>24</v>
      </c>
      <c r="D50" s="1">
        <v>32.6</v>
      </c>
      <c r="E50" s="2">
        <f t="shared" si="1"/>
        <v>4.0188510908501479E-2</v>
      </c>
      <c r="F50" s="1">
        <v>11</v>
      </c>
      <c r="G50" s="1">
        <v>3.6</v>
      </c>
      <c r="H50" s="3">
        <f t="shared" si="2"/>
        <v>0</v>
      </c>
      <c r="I50" s="1">
        <f t="shared" si="3"/>
        <v>6046.8543336164394</v>
      </c>
      <c r="K50" s="1">
        <f t="shared" si="17"/>
        <v>3.4811320754716988</v>
      </c>
      <c r="L50" s="1">
        <f t="shared" si="4"/>
        <v>-8.9830188679245353</v>
      </c>
      <c r="M50" s="2">
        <f t="shared" si="5"/>
        <v>-6.6303641846257547E-2</v>
      </c>
      <c r="N50" s="1">
        <f t="shared" si="6"/>
        <v>5.8301886792452828</v>
      </c>
      <c r="O50" s="1">
        <f t="shared" si="7"/>
        <v>-4.2084905660377352</v>
      </c>
      <c r="P50" s="1">
        <f t="shared" si="8"/>
        <v>-0.62264150943396224</v>
      </c>
      <c r="Q50" s="1">
        <f t="shared" si="9"/>
        <v>-6471.5357630634726</v>
      </c>
      <c r="S50" s="1">
        <f t="shared" si="10"/>
        <v>12.118280526877896</v>
      </c>
      <c r="T50" s="1">
        <f t="shared" si="11"/>
        <v>80.694627981488196</v>
      </c>
      <c r="U50" s="2">
        <f t="shared" si="12"/>
        <v>4.3961729220767945E-3</v>
      </c>
      <c r="V50" s="1">
        <f t="shared" si="13"/>
        <v>33.991100035599857</v>
      </c>
      <c r="W50" s="1">
        <f t="shared" si="14"/>
        <v>17.711392844428616</v>
      </c>
      <c r="X50" s="1">
        <f t="shared" si="15"/>
        <v>0.3876824492702029</v>
      </c>
      <c r="Y50" s="1">
        <f t="shared" si="16"/>
        <v>41880775.132609524</v>
      </c>
    </row>
    <row r="51" spans="2:25" x14ac:dyDescent="0.3">
      <c r="B51" s="1">
        <v>4.5</v>
      </c>
      <c r="C51" s="1">
        <v>96</v>
      </c>
      <c r="D51" s="1">
        <v>51.5</v>
      </c>
      <c r="E51" s="2">
        <f t="shared" si="1"/>
        <v>1.7513408227266169E-2</v>
      </c>
      <c r="F51" s="1">
        <v>14</v>
      </c>
      <c r="G51" s="1">
        <v>6.1</v>
      </c>
      <c r="H51" s="3">
        <f t="shared" si="2"/>
        <v>0</v>
      </c>
      <c r="I51" s="1">
        <f t="shared" si="3"/>
        <v>1825.2504512558066</v>
      </c>
      <c r="K51" s="1">
        <f t="shared" si="17"/>
        <v>75.481132075471692</v>
      </c>
      <c r="L51" s="1">
        <f t="shared" si="4"/>
        <v>9.9169811320754633</v>
      </c>
      <c r="M51" s="2">
        <f t="shared" si="5"/>
        <v>-8.8978744527492853E-2</v>
      </c>
      <c r="N51" s="1">
        <f t="shared" si="6"/>
        <v>8.8301886792452819</v>
      </c>
      <c r="O51" s="1">
        <f t="shared" si="7"/>
        <v>-1.7084905660377352</v>
      </c>
      <c r="P51" s="1">
        <f t="shared" si="8"/>
        <v>-0.62264150943396224</v>
      </c>
      <c r="Q51" s="1">
        <f t="shared" si="9"/>
        <v>-10693.139645424106</v>
      </c>
      <c r="S51" s="1">
        <f t="shared" si="10"/>
        <v>5697.4012993948018</v>
      </c>
      <c r="T51" s="1">
        <f t="shared" si="11"/>
        <v>98.34651477394074</v>
      </c>
      <c r="U51" s="2">
        <f t="shared" si="12"/>
        <v>7.9172169776888391E-3</v>
      </c>
      <c r="V51" s="1">
        <f t="shared" si="13"/>
        <v>77.972232111071534</v>
      </c>
      <c r="W51" s="1">
        <f t="shared" si="14"/>
        <v>2.9189400142399409</v>
      </c>
      <c r="X51" s="1">
        <f t="shared" si="15"/>
        <v>0.3876824492702029</v>
      </c>
      <c r="Y51" s="1">
        <f t="shared" si="16"/>
        <v>114343235.47654077</v>
      </c>
    </row>
    <row r="52" spans="2:25" x14ac:dyDescent="0.3">
      <c r="B52" s="1">
        <v>1.6</v>
      </c>
      <c r="C52" s="1">
        <v>4</v>
      </c>
      <c r="D52" s="1">
        <v>44.9</v>
      </c>
      <c r="E52" s="2">
        <f t="shared" si="1"/>
        <v>0.20392633766619866</v>
      </c>
      <c r="F52" s="1">
        <v>6</v>
      </c>
      <c r="G52" s="1">
        <v>4.3</v>
      </c>
      <c r="H52" s="3">
        <f t="shared" si="2"/>
        <v>0</v>
      </c>
      <c r="I52" s="1">
        <f t="shared" si="3"/>
        <v>14607.767357521481</v>
      </c>
      <c r="K52" s="1">
        <f t="shared" si="17"/>
        <v>-16.518867924528301</v>
      </c>
      <c r="L52" s="1">
        <f t="shared" si="4"/>
        <v>3.3169811320754619</v>
      </c>
      <c r="M52" s="2">
        <f t="shared" si="5"/>
        <v>9.7434184911439639E-2</v>
      </c>
      <c r="N52" s="1">
        <f t="shared" si="6"/>
        <v>0.83018867924528283</v>
      </c>
      <c r="O52" s="1">
        <f t="shared" si="7"/>
        <v>-3.508490566037735</v>
      </c>
      <c r="P52" s="1">
        <f t="shared" si="8"/>
        <v>-0.62264150943396224</v>
      </c>
      <c r="Q52" s="1">
        <f t="shared" si="9"/>
        <v>2089.3772608415693</v>
      </c>
      <c r="S52" s="1">
        <f t="shared" si="10"/>
        <v>272.87299750800997</v>
      </c>
      <c r="T52" s="1">
        <f t="shared" si="11"/>
        <v>11.002363830544613</v>
      </c>
      <c r="U52" s="2">
        <f t="shared" si="12"/>
        <v>9.4934203893566119E-3</v>
      </c>
      <c r="V52" s="1">
        <f t="shared" si="13"/>
        <v>0.68921324314702714</v>
      </c>
      <c r="W52" s="1">
        <f t="shared" si="14"/>
        <v>12.309506051975786</v>
      </c>
      <c r="X52" s="1">
        <f t="shared" si="15"/>
        <v>0.3876824492702029</v>
      </c>
      <c r="Y52" s="1">
        <f t="shared" si="16"/>
        <v>4365497.3381218193</v>
      </c>
    </row>
    <row r="53" spans="2:25" x14ac:dyDescent="0.3">
      <c r="B53" s="1">
        <v>2.1</v>
      </c>
      <c r="C53" s="1">
        <v>33</v>
      </c>
      <c r="D53" s="1">
        <v>20.100000000000001</v>
      </c>
      <c r="E53" s="2">
        <f t="shared" si="1"/>
        <v>6.3231758971551174E-4</v>
      </c>
      <c r="F53" s="1">
        <v>5</v>
      </c>
      <c r="G53" s="1">
        <v>8</v>
      </c>
      <c r="H53" s="3">
        <f t="shared" si="2"/>
        <v>0</v>
      </c>
      <c r="I53" s="1">
        <f t="shared" si="3"/>
        <v>3988.2811527235376</v>
      </c>
      <c r="K53" s="1">
        <f t="shared" si="17"/>
        <v>12.481132075471699</v>
      </c>
      <c r="L53" s="1">
        <f t="shared" si="4"/>
        <v>-21.483018867924535</v>
      </c>
      <c r="M53" s="2">
        <f t="shared" si="5"/>
        <v>-0.10585983516504352</v>
      </c>
      <c r="N53" s="1">
        <f t="shared" si="6"/>
        <v>-0.16981132075471717</v>
      </c>
      <c r="O53" s="1">
        <f t="shared" si="7"/>
        <v>0.19150943396226516</v>
      </c>
      <c r="P53" s="1">
        <f t="shared" si="8"/>
        <v>-0.62264150943396224</v>
      </c>
      <c r="Q53" s="1">
        <f t="shared" si="9"/>
        <v>-8530.1089439563748</v>
      </c>
      <c r="S53" s="1">
        <f t="shared" si="10"/>
        <v>155.77865788536849</v>
      </c>
      <c r="T53" s="1">
        <f t="shared" si="11"/>
        <v>461.52009967960157</v>
      </c>
      <c r="U53" s="2">
        <f t="shared" si="12"/>
        <v>1.1206304701170185E-2</v>
      </c>
      <c r="V53" s="1">
        <f t="shared" si="13"/>
        <v>2.8835884656461436E-2</v>
      </c>
      <c r="W53" s="1">
        <f t="shared" si="14"/>
        <v>3.66758632965472E-2</v>
      </c>
      <c r="X53" s="1">
        <f t="shared" si="15"/>
        <v>0.3876824492702029</v>
      </c>
      <c r="Y53" s="1">
        <f t="shared" si="16"/>
        <v>72762758.595764533</v>
      </c>
    </row>
    <row r="54" spans="2:25" x14ac:dyDescent="0.3">
      <c r="B54" s="1">
        <v>1.7</v>
      </c>
      <c r="C54" s="1">
        <v>25</v>
      </c>
      <c r="D54" s="1">
        <v>16.8</v>
      </c>
      <c r="E54" s="2">
        <f t="shared" si="1"/>
        <v>1.1905761280033161E-3</v>
      </c>
      <c r="F54" s="1">
        <v>0</v>
      </c>
      <c r="G54" s="1">
        <v>12.2</v>
      </c>
      <c r="H54" s="3">
        <f t="shared" si="2"/>
        <v>1</v>
      </c>
      <c r="I54" s="1">
        <f t="shared" si="3"/>
        <v>7890.6087700290173</v>
      </c>
      <c r="K54" s="1">
        <f t="shared" si="17"/>
        <v>4.4811320754716988</v>
      </c>
      <c r="L54" s="1">
        <f t="shared" si="4"/>
        <v>-24.783018867924536</v>
      </c>
      <c r="M54" s="2">
        <f t="shared" si="5"/>
        <v>-0.10530157662675571</v>
      </c>
      <c r="N54" s="1">
        <f t="shared" si="6"/>
        <v>-5.1698113207547172</v>
      </c>
      <c r="O54" s="1">
        <f t="shared" si="7"/>
        <v>4.3915094339622645</v>
      </c>
      <c r="P54" s="1">
        <f t="shared" si="8"/>
        <v>0.37735849056603776</v>
      </c>
      <c r="Q54" s="1">
        <f t="shared" si="9"/>
        <v>-4627.7813266508947</v>
      </c>
      <c r="S54" s="1">
        <f t="shared" si="10"/>
        <v>20.080544677821294</v>
      </c>
      <c r="T54" s="1">
        <f t="shared" si="11"/>
        <v>614.19802420790359</v>
      </c>
      <c r="U54" s="2">
        <f t="shared" si="12"/>
        <v>1.1088422040080505E-2</v>
      </c>
      <c r="V54" s="1">
        <f t="shared" si="13"/>
        <v>26.726949092203633</v>
      </c>
      <c r="W54" s="1">
        <f t="shared" si="14"/>
        <v>19.285355108579569</v>
      </c>
      <c r="X54" s="1">
        <f t="shared" si="15"/>
        <v>0.1423994304022784</v>
      </c>
      <c r="Y54" s="1">
        <f t="shared" si="16"/>
        <v>21416360.007298715</v>
      </c>
    </row>
    <row r="55" spans="2:25" x14ac:dyDescent="0.3">
      <c r="B55" s="1">
        <v>1.6</v>
      </c>
      <c r="C55" s="1">
        <v>3</v>
      </c>
      <c r="D55" s="1">
        <v>45.8</v>
      </c>
      <c r="E55" s="2">
        <f t="shared" si="1"/>
        <v>8.1007965918328581E-2</v>
      </c>
      <c r="F55" s="1">
        <v>0</v>
      </c>
      <c r="G55" s="1">
        <v>5.6</v>
      </c>
      <c r="H55" s="3">
        <f t="shared" si="2"/>
        <v>1</v>
      </c>
      <c r="I55" s="1">
        <f t="shared" si="3"/>
        <v>18552.320817467586</v>
      </c>
      <c r="K55" s="1">
        <f t="shared" si="17"/>
        <v>-17.518867924528301</v>
      </c>
      <c r="L55" s="1">
        <f t="shared" si="4"/>
        <v>4.2169811320754604</v>
      </c>
      <c r="M55" s="2">
        <f t="shared" si="5"/>
        <v>-2.5484186836430445E-2</v>
      </c>
      <c r="N55" s="1">
        <f t="shared" si="6"/>
        <v>-5.1698113207547172</v>
      </c>
      <c r="O55" s="1">
        <f t="shared" si="7"/>
        <v>-2.2084905660377352</v>
      </c>
      <c r="P55" s="1">
        <f t="shared" si="8"/>
        <v>0.37735849056603776</v>
      </c>
      <c r="Q55" s="1">
        <f t="shared" si="9"/>
        <v>6033.9307207876736</v>
      </c>
      <c r="S55" s="1">
        <f t="shared" si="10"/>
        <v>306.91073335706653</v>
      </c>
      <c r="T55" s="1">
        <f t="shared" si="11"/>
        <v>17.782929868280434</v>
      </c>
      <c r="U55" s="2">
        <f t="shared" si="12"/>
        <v>6.4944377871409471E-4</v>
      </c>
      <c r="V55" s="1">
        <f t="shared" si="13"/>
        <v>26.726949092203633</v>
      </c>
      <c r="W55" s="1">
        <f t="shared" si="14"/>
        <v>4.8774305802776761</v>
      </c>
      <c r="X55" s="1">
        <f t="shared" si="15"/>
        <v>0.1423994304022784</v>
      </c>
      <c r="Y55" s="1">
        <f t="shared" si="16"/>
        <v>36408319.943265252</v>
      </c>
    </row>
    <row r="56" spans="2:25" x14ac:dyDescent="0.3">
      <c r="B56" s="1">
        <v>1.7</v>
      </c>
      <c r="C56" s="1">
        <v>2</v>
      </c>
      <c r="D56" s="1">
        <v>45.9</v>
      </c>
      <c r="E56" s="2">
        <f t="shared" si="1"/>
        <v>2.9304630424653401E-2</v>
      </c>
      <c r="F56" s="1">
        <v>0</v>
      </c>
      <c r="G56" s="1">
        <v>5.5</v>
      </c>
      <c r="H56" s="3">
        <f t="shared" si="2"/>
        <v>1</v>
      </c>
      <c r="I56" s="1">
        <f t="shared" si="3"/>
        <v>27460.695164442932</v>
      </c>
      <c r="K56" s="1">
        <f t="shared" si="17"/>
        <v>-18.518867924528301</v>
      </c>
      <c r="L56" s="1">
        <f t="shared" si="4"/>
        <v>4.3169811320754619</v>
      </c>
      <c r="M56" s="2">
        <f t="shared" si="5"/>
        <v>-7.7187522330105618E-2</v>
      </c>
      <c r="N56" s="1">
        <f t="shared" si="6"/>
        <v>-5.1698113207547172</v>
      </c>
      <c r="O56" s="1">
        <f t="shared" si="7"/>
        <v>-2.3084905660377348</v>
      </c>
      <c r="P56" s="1">
        <f t="shared" si="8"/>
        <v>0.37735849056603776</v>
      </c>
      <c r="Q56" s="1">
        <f t="shared" si="9"/>
        <v>14942.30506776302</v>
      </c>
      <c r="S56" s="1">
        <f t="shared" si="10"/>
        <v>342.94846920612315</v>
      </c>
      <c r="T56" s="1">
        <f t="shared" si="11"/>
        <v>18.636326094695537</v>
      </c>
      <c r="U56" s="2">
        <f t="shared" si="12"/>
        <v>5.9579136034605537E-3</v>
      </c>
      <c r="V56" s="1">
        <f t="shared" si="13"/>
        <v>26.726949092203633</v>
      </c>
      <c r="W56" s="1">
        <f t="shared" si="14"/>
        <v>5.3291286934852211</v>
      </c>
      <c r="X56" s="1">
        <f t="shared" si="15"/>
        <v>0.1423994304022784</v>
      </c>
      <c r="Y56" s="1">
        <f t="shared" si="16"/>
        <v>223272480.73809642</v>
      </c>
    </row>
    <row r="57" spans="2:25" x14ac:dyDescent="0.3">
      <c r="B57" s="1">
        <v>2.9</v>
      </c>
      <c r="C57" s="1">
        <v>4</v>
      </c>
      <c r="D57" s="1">
        <v>47.8</v>
      </c>
      <c r="E57" s="2">
        <f t="shared" si="1"/>
        <v>3.234924242117905E-2</v>
      </c>
      <c r="F57" s="1">
        <v>0</v>
      </c>
      <c r="G57" s="1">
        <v>4.3</v>
      </c>
      <c r="H57" s="3">
        <f t="shared" si="2"/>
        <v>1</v>
      </c>
      <c r="I57" s="1">
        <f t="shared" si="3"/>
        <v>18717.472692329244</v>
      </c>
      <c r="K57" s="1">
        <f t="shared" si="17"/>
        <v>-16.518867924528301</v>
      </c>
      <c r="L57" s="1">
        <f t="shared" si="4"/>
        <v>6.2169811320754604</v>
      </c>
      <c r="M57" s="2">
        <f t="shared" si="5"/>
        <v>-7.4142910333579976E-2</v>
      </c>
      <c r="N57" s="1">
        <f t="shared" si="6"/>
        <v>-5.1698113207547172</v>
      </c>
      <c r="O57" s="1">
        <f t="shared" si="7"/>
        <v>-3.508490566037735</v>
      </c>
      <c r="P57" s="1">
        <f t="shared" si="8"/>
        <v>0.37735849056603776</v>
      </c>
      <c r="Q57" s="1">
        <f t="shared" si="9"/>
        <v>6199.0825956493318</v>
      </c>
      <c r="S57" s="1">
        <f t="shared" si="10"/>
        <v>272.87299750800997</v>
      </c>
      <c r="T57" s="1">
        <f t="shared" si="11"/>
        <v>38.650854396582275</v>
      </c>
      <c r="U57" s="2">
        <f t="shared" si="12"/>
        <v>5.4971711527332804E-3</v>
      </c>
      <c r="V57" s="1">
        <f t="shared" si="13"/>
        <v>26.726949092203633</v>
      </c>
      <c r="W57" s="1">
        <f t="shared" si="14"/>
        <v>12.309506051975786</v>
      </c>
      <c r="X57" s="1">
        <f t="shared" si="15"/>
        <v>0.1423994304022784</v>
      </c>
      <c r="Y57" s="1">
        <f t="shared" si="16"/>
        <v>38428625.027682453</v>
      </c>
    </row>
    <row r="58" spans="2:25" x14ac:dyDescent="0.3">
      <c r="B58" s="1">
        <v>1.2</v>
      </c>
      <c r="C58" s="1">
        <v>3</v>
      </c>
      <c r="D58" s="1">
        <v>42.4</v>
      </c>
      <c r="E58" s="2">
        <f t="shared" si="1"/>
        <v>0.1335998160347027</v>
      </c>
      <c r="F58" s="1">
        <v>4</v>
      </c>
      <c r="G58" s="1">
        <v>9.1999999999999993</v>
      </c>
      <c r="H58" s="3">
        <f t="shared" si="2"/>
        <v>0</v>
      </c>
      <c r="I58" s="1">
        <f t="shared" si="3"/>
        <v>21425.541540256774</v>
      </c>
      <c r="K58" s="1">
        <f t="shared" si="17"/>
        <v>-17.518867924528301</v>
      </c>
      <c r="L58" s="1">
        <f t="shared" si="4"/>
        <v>0.81698113207546186</v>
      </c>
      <c r="M58" s="2">
        <f t="shared" si="5"/>
        <v>2.710766327994367E-2</v>
      </c>
      <c r="N58" s="1">
        <f t="shared" si="6"/>
        <v>-1.1698113207547172</v>
      </c>
      <c r="O58" s="1">
        <f t="shared" si="7"/>
        <v>1.3915094339622645</v>
      </c>
      <c r="P58" s="1">
        <f t="shared" si="8"/>
        <v>-0.62264150943396224</v>
      </c>
      <c r="Q58" s="1">
        <f t="shared" si="9"/>
        <v>8907.1514435768622</v>
      </c>
      <c r="S58" s="1">
        <f t="shared" si="10"/>
        <v>306.91073335706653</v>
      </c>
      <c r="T58" s="1">
        <f t="shared" si="11"/>
        <v>0.66745817016730324</v>
      </c>
      <c r="U58" s="2">
        <f t="shared" si="12"/>
        <v>7.3482540849880644E-4</v>
      </c>
      <c r="V58" s="1">
        <f t="shared" si="13"/>
        <v>1.3684585261658957</v>
      </c>
      <c r="W58" s="1">
        <f t="shared" si="14"/>
        <v>1.9362985048059815</v>
      </c>
      <c r="X58" s="1">
        <f t="shared" si="15"/>
        <v>0.3876824492702029</v>
      </c>
      <c r="Y58" s="1">
        <f t="shared" si="16"/>
        <v>79337346.838813379</v>
      </c>
    </row>
    <row r="59" spans="2:25" x14ac:dyDescent="0.3">
      <c r="B59" s="1">
        <v>1.4</v>
      </c>
      <c r="C59" s="1">
        <v>13</v>
      </c>
      <c r="D59" s="1">
        <v>45.3</v>
      </c>
      <c r="E59" s="2">
        <f t="shared" si="1"/>
        <v>0.16885234773992822</v>
      </c>
      <c r="F59" s="1">
        <v>33</v>
      </c>
      <c r="G59" s="1">
        <v>9.5</v>
      </c>
      <c r="H59" s="3">
        <f t="shared" si="2"/>
        <v>0</v>
      </c>
      <c r="I59" s="1">
        <f t="shared" si="3"/>
        <v>6523.0059635272173</v>
      </c>
      <c r="K59" s="1">
        <f t="shared" si="17"/>
        <v>-7.5188679245283012</v>
      </c>
      <c r="L59" s="1">
        <f t="shared" si="4"/>
        <v>3.7169811320754604</v>
      </c>
      <c r="M59" s="2">
        <f t="shared" si="5"/>
        <v>6.236019498516919E-2</v>
      </c>
      <c r="N59" s="1">
        <f t="shared" si="6"/>
        <v>27.830188679245282</v>
      </c>
      <c r="O59" s="1">
        <f t="shared" si="7"/>
        <v>1.6915094339622652</v>
      </c>
      <c r="P59" s="1">
        <f t="shared" si="8"/>
        <v>-0.62264150943396224</v>
      </c>
      <c r="Q59" s="1">
        <f t="shared" si="9"/>
        <v>-5995.3841331526946</v>
      </c>
      <c r="S59" s="1">
        <f t="shared" si="10"/>
        <v>56.533374866500523</v>
      </c>
      <c r="T59" s="1">
        <f t="shared" si="11"/>
        <v>13.815948736204971</v>
      </c>
      <c r="U59" s="2">
        <f t="shared" si="12"/>
        <v>3.8887939185883206E-3</v>
      </c>
      <c r="V59" s="1">
        <f t="shared" si="13"/>
        <v>774.51940192239226</v>
      </c>
      <c r="W59" s="1">
        <f t="shared" si="14"/>
        <v>2.8612041651833429</v>
      </c>
      <c r="X59" s="1">
        <f t="shared" si="15"/>
        <v>0.3876824492702029</v>
      </c>
      <c r="Y59" s="1">
        <f t="shared" si="16"/>
        <v>35944630.90405909</v>
      </c>
    </row>
    <row r="60" spans="2:25" x14ac:dyDescent="0.3">
      <c r="B60" s="1">
        <v>1.3</v>
      </c>
      <c r="C60" s="1">
        <v>3</v>
      </c>
      <c r="D60" s="1">
        <v>44.4</v>
      </c>
      <c r="E60" s="2">
        <f t="shared" si="1"/>
        <v>0.59236628077808418</v>
      </c>
      <c r="F60" s="1">
        <v>2</v>
      </c>
      <c r="G60" s="1">
        <v>2.8</v>
      </c>
      <c r="H60" s="3">
        <f t="shared" si="2"/>
        <v>1</v>
      </c>
      <c r="I60" s="1">
        <f t="shared" si="3"/>
        <v>20146.801403089008</v>
      </c>
      <c r="K60" s="1">
        <f t="shared" si="17"/>
        <v>-17.518867924528301</v>
      </c>
      <c r="L60" s="1">
        <f t="shared" si="4"/>
        <v>2.8169811320754619</v>
      </c>
      <c r="M60" s="2">
        <f t="shared" si="5"/>
        <v>0.48587412802332514</v>
      </c>
      <c r="N60" s="1">
        <f t="shared" si="6"/>
        <v>-3.1698113207547172</v>
      </c>
      <c r="O60" s="1">
        <f t="shared" si="7"/>
        <v>-5.008490566037735</v>
      </c>
      <c r="P60" s="1">
        <f t="shared" si="8"/>
        <v>0.37735849056603776</v>
      </c>
      <c r="Q60" s="1">
        <f t="shared" si="9"/>
        <v>7628.4113064090961</v>
      </c>
      <c r="S60" s="1">
        <f t="shared" si="10"/>
        <v>306.91073335706653</v>
      </c>
      <c r="T60" s="1">
        <f t="shared" si="11"/>
        <v>7.9353826984691507</v>
      </c>
      <c r="U60" s="2">
        <f t="shared" si="12"/>
        <v>0.23607366828242654</v>
      </c>
      <c r="V60" s="1">
        <f t="shared" si="13"/>
        <v>10.047703809184764</v>
      </c>
      <c r="W60" s="1">
        <f t="shared" si="14"/>
        <v>25.084977750088992</v>
      </c>
      <c r="X60" s="1">
        <f t="shared" si="15"/>
        <v>0.1423994304022784</v>
      </c>
      <c r="Y60" s="1">
        <f t="shared" si="16"/>
        <v>58192659.059750132</v>
      </c>
    </row>
    <row r="61" spans="2:25" x14ac:dyDescent="0.3">
      <c r="B61" s="1">
        <v>2.9</v>
      </c>
      <c r="C61" s="1">
        <v>15</v>
      </c>
      <c r="D61" s="1">
        <v>16.8</v>
      </c>
      <c r="E61" s="2">
        <f t="shared" si="1"/>
        <v>9.80091019092761E-4</v>
      </c>
      <c r="F61" s="1">
        <v>20</v>
      </c>
      <c r="G61" s="1">
        <v>19</v>
      </c>
      <c r="H61" s="3">
        <f t="shared" si="2"/>
        <v>0</v>
      </c>
      <c r="I61" s="1">
        <f t="shared" si="3"/>
        <v>7857.6543246418205</v>
      </c>
      <c r="K61" s="1">
        <f t="shared" si="17"/>
        <v>-5.5188679245283012</v>
      </c>
      <c r="L61" s="1">
        <f t="shared" si="4"/>
        <v>-24.783018867924536</v>
      </c>
      <c r="M61" s="2">
        <f t="shared" si="5"/>
        <v>-0.10551206173566627</v>
      </c>
      <c r="N61" s="1">
        <f t="shared" si="6"/>
        <v>14.830188679245282</v>
      </c>
      <c r="O61" s="1">
        <f t="shared" si="7"/>
        <v>11.191509433962265</v>
      </c>
      <c r="P61" s="1">
        <f t="shared" si="8"/>
        <v>-0.62264150943396224</v>
      </c>
      <c r="Q61" s="1">
        <f t="shared" si="9"/>
        <v>-4660.7357720380915</v>
      </c>
      <c r="S61" s="1">
        <f t="shared" si="10"/>
        <v>30.457903168387318</v>
      </c>
      <c r="T61" s="1">
        <f t="shared" si="11"/>
        <v>614.19802420790359</v>
      </c>
      <c r="U61" s="2">
        <f t="shared" si="12"/>
        <v>1.1132795171711049E-2</v>
      </c>
      <c r="V61" s="1">
        <f t="shared" si="13"/>
        <v>219.93449626201493</v>
      </c>
      <c r="W61" s="1">
        <f t="shared" si="14"/>
        <v>125.24988341046638</v>
      </c>
      <c r="X61" s="1">
        <f t="shared" si="15"/>
        <v>0.3876824492702029</v>
      </c>
      <c r="Y61" s="1">
        <f t="shared" si="16"/>
        <v>21722457.936755504</v>
      </c>
    </row>
    <row r="62" spans="2:25" x14ac:dyDescent="0.3">
      <c r="B62" s="1">
        <v>3.1</v>
      </c>
      <c r="C62" s="1">
        <v>10</v>
      </c>
      <c r="D62" s="1">
        <v>49</v>
      </c>
      <c r="E62" s="2">
        <f t="shared" si="1"/>
        <v>3.8345381860621246E-2</v>
      </c>
      <c r="F62" s="1">
        <v>10</v>
      </c>
      <c r="G62" s="1">
        <v>4.9000000000000004</v>
      </c>
      <c r="H62" s="3">
        <f t="shared" si="2"/>
        <v>0</v>
      </c>
      <c r="I62" s="1">
        <f t="shared" si="3"/>
        <v>14113.150404913918</v>
      </c>
      <c r="K62" s="1">
        <f t="shared" si="17"/>
        <v>-10.518867924528301</v>
      </c>
      <c r="L62" s="1">
        <f t="shared" si="4"/>
        <v>7.4169811320754633</v>
      </c>
      <c r="M62" s="2">
        <f t="shared" si="5"/>
        <v>-6.8146770894137787E-2</v>
      </c>
      <c r="N62" s="1">
        <f t="shared" si="6"/>
        <v>4.8301886792452828</v>
      </c>
      <c r="O62" s="1">
        <f t="shared" si="7"/>
        <v>-2.9084905660377345</v>
      </c>
      <c r="P62" s="1">
        <f t="shared" si="8"/>
        <v>-0.62264150943396224</v>
      </c>
      <c r="Q62" s="1">
        <f t="shared" si="9"/>
        <v>1594.7603082340065</v>
      </c>
      <c r="S62" s="1">
        <f t="shared" si="10"/>
        <v>110.64658241367033</v>
      </c>
      <c r="T62" s="1">
        <f t="shared" si="11"/>
        <v>55.011609113563424</v>
      </c>
      <c r="U62" s="2">
        <f t="shared" si="12"/>
        <v>4.6439823832981047E-3</v>
      </c>
      <c r="V62" s="1">
        <f t="shared" si="13"/>
        <v>23.330722677109289</v>
      </c>
      <c r="W62" s="1">
        <f t="shared" si="14"/>
        <v>8.4593173727305011</v>
      </c>
      <c r="X62" s="1">
        <f t="shared" si="15"/>
        <v>0.3876824492702029</v>
      </c>
      <c r="Y62" s="1">
        <f t="shared" si="16"/>
        <v>2543260.4407186233</v>
      </c>
    </row>
    <row r="63" spans="2:25" x14ac:dyDescent="0.3">
      <c r="B63" s="1">
        <v>3</v>
      </c>
      <c r="C63" s="1">
        <v>90</v>
      </c>
      <c r="D63" s="1">
        <v>44.8</v>
      </c>
      <c r="E63" s="2">
        <f t="shared" si="1"/>
        <v>3.267594009846661E-2</v>
      </c>
      <c r="F63" s="1">
        <v>8</v>
      </c>
      <c r="G63" s="1">
        <v>24.6</v>
      </c>
      <c r="H63" s="3">
        <f t="shared" si="2"/>
        <v>0</v>
      </c>
      <c r="I63" s="1">
        <f t="shared" si="3"/>
        <v>2522.134448423129</v>
      </c>
      <c r="K63" s="1">
        <f t="shared" si="17"/>
        <v>69.481132075471692</v>
      </c>
      <c r="L63" s="1">
        <f t="shared" si="4"/>
        <v>3.2169811320754604</v>
      </c>
      <c r="M63" s="2">
        <f t="shared" si="5"/>
        <v>-7.3816212656292415E-2</v>
      </c>
      <c r="N63" s="1">
        <f t="shared" si="6"/>
        <v>2.8301886792452828</v>
      </c>
      <c r="O63" s="1">
        <f t="shared" si="7"/>
        <v>16.791509433962268</v>
      </c>
      <c r="P63" s="1">
        <f t="shared" si="8"/>
        <v>-0.62264150943396224</v>
      </c>
      <c r="Q63" s="1">
        <f t="shared" si="9"/>
        <v>-9996.2556482567834</v>
      </c>
      <c r="S63" s="1">
        <f t="shared" si="10"/>
        <v>4827.627714489141</v>
      </c>
      <c r="T63" s="1">
        <f t="shared" si="11"/>
        <v>10.348967604129511</v>
      </c>
      <c r="U63" s="2">
        <f t="shared" si="12"/>
        <v>5.4488332509189845E-3</v>
      </c>
      <c r="V63" s="1">
        <f t="shared" si="13"/>
        <v>8.0099679601281579</v>
      </c>
      <c r="W63" s="1">
        <f t="shared" si="14"/>
        <v>281.95478907084384</v>
      </c>
      <c r="X63" s="1">
        <f t="shared" si="15"/>
        <v>0.3876824492702029</v>
      </c>
      <c r="Y63" s="1">
        <f t="shared" si="16"/>
        <v>99925126.985305652</v>
      </c>
    </row>
    <row r="64" spans="2:25" x14ac:dyDescent="0.3">
      <c r="B64" s="1">
        <v>1.6</v>
      </c>
      <c r="C64" s="1">
        <v>4</v>
      </c>
      <c r="D64" s="1">
        <v>49.8</v>
      </c>
      <c r="E64" s="2">
        <f t="shared" si="1"/>
        <v>0.50896035304883158</v>
      </c>
      <c r="F64" s="1">
        <v>1</v>
      </c>
      <c r="G64" s="1">
        <v>8.1</v>
      </c>
      <c r="H64" s="3">
        <f t="shared" si="2"/>
        <v>1</v>
      </c>
      <c r="I64" s="1">
        <f t="shared" si="3"/>
        <v>15358.398216942231</v>
      </c>
      <c r="K64" s="1">
        <f t="shared" si="17"/>
        <v>-16.518867924528301</v>
      </c>
      <c r="L64" s="1">
        <f t="shared" si="4"/>
        <v>8.2169811320754604</v>
      </c>
      <c r="M64" s="2">
        <f t="shared" si="5"/>
        <v>0.40246820029407254</v>
      </c>
      <c r="N64" s="1">
        <f t="shared" si="6"/>
        <v>-4.1698113207547172</v>
      </c>
      <c r="O64" s="1">
        <f t="shared" si="7"/>
        <v>0.29150943396226481</v>
      </c>
      <c r="P64" s="1">
        <f t="shared" si="8"/>
        <v>0.37735849056603776</v>
      </c>
      <c r="Q64" s="1">
        <f t="shared" si="9"/>
        <v>2840.0081202623187</v>
      </c>
      <c r="S64" s="1">
        <f t="shared" si="10"/>
        <v>272.87299750800997</v>
      </c>
      <c r="T64" s="1">
        <f t="shared" si="11"/>
        <v>67.518778924884117</v>
      </c>
      <c r="U64" s="2">
        <f t="shared" si="12"/>
        <v>0.16198065224794969</v>
      </c>
      <c r="V64" s="1">
        <f t="shared" si="13"/>
        <v>17.3873264506942</v>
      </c>
      <c r="W64" s="1">
        <f t="shared" si="14"/>
        <v>8.497775008900002E-2</v>
      </c>
      <c r="X64" s="1">
        <f t="shared" si="15"/>
        <v>0.1423994304022784</v>
      </c>
      <c r="Y64" s="1">
        <f t="shared" si="16"/>
        <v>8065646.1231559087</v>
      </c>
    </row>
    <row r="65" spans="2:25" x14ac:dyDescent="0.3">
      <c r="B65" s="1">
        <v>1.5</v>
      </c>
      <c r="C65" s="1">
        <v>3</v>
      </c>
      <c r="D65" s="1">
        <v>49.4</v>
      </c>
      <c r="E65" s="2">
        <f t="shared" si="1"/>
        <v>0.11387475760288493</v>
      </c>
      <c r="F65" s="1">
        <v>0</v>
      </c>
      <c r="G65" s="1">
        <v>8.5</v>
      </c>
      <c r="H65" s="3">
        <f t="shared" si="2"/>
        <v>1</v>
      </c>
      <c r="I65" s="1">
        <f t="shared" si="3"/>
        <v>20831.616334636037</v>
      </c>
      <c r="K65" s="1">
        <f t="shared" si="17"/>
        <v>-17.518867924528301</v>
      </c>
      <c r="L65" s="1">
        <f t="shared" si="4"/>
        <v>7.8169811320754619</v>
      </c>
      <c r="M65" s="2">
        <f t="shared" si="5"/>
        <v>7.3826048481259038E-3</v>
      </c>
      <c r="N65" s="1">
        <f t="shared" si="6"/>
        <v>-5.1698113207547172</v>
      </c>
      <c r="O65" s="1">
        <f t="shared" si="7"/>
        <v>0.69150943396226516</v>
      </c>
      <c r="P65" s="1">
        <f t="shared" si="8"/>
        <v>0.37735849056603776</v>
      </c>
      <c r="Q65" s="1">
        <f t="shared" si="9"/>
        <v>8313.2262379561253</v>
      </c>
      <c r="S65" s="1">
        <f t="shared" si="10"/>
        <v>306.91073335706653</v>
      </c>
      <c r="T65" s="1">
        <f t="shared" si="11"/>
        <v>61.105194019223767</v>
      </c>
      <c r="U65" s="2">
        <f t="shared" si="12"/>
        <v>5.4502854343572098E-5</v>
      </c>
      <c r="V65" s="1">
        <f t="shared" si="13"/>
        <v>26.726949092203633</v>
      </c>
      <c r="W65" s="1">
        <f t="shared" si="14"/>
        <v>0.47818529725881237</v>
      </c>
      <c r="X65" s="1">
        <f t="shared" si="15"/>
        <v>0.1423994304022784</v>
      </c>
      <c r="Y65" s="1">
        <f t="shared" si="16"/>
        <v>69109730.483442158</v>
      </c>
    </row>
    <row r="66" spans="2:25" x14ac:dyDescent="0.3">
      <c r="B66" s="1">
        <v>1.4</v>
      </c>
      <c r="C66" s="1">
        <v>3</v>
      </c>
      <c r="D66" s="1">
        <v>46.7</v>
      </c>
      <c r="E66" s="2">
        <f t="shared" si="1"/>
        <v>0.22365003242925471</v>
      </c>
      <c r="F66" s="1">
        <v>1</v>
      </c>
      <c r="G66" s="1">
        <v>6.8</v>
      </c>
      <c r="H66" s="3">
        <f t="shared" si="2"/>
        <v>1</v>
      </c>
      <c r="I66" s="1">
        <f t="shared" si="3"/>
        <v>32678.384863365805</v>
      </c>
      <c r="K66" s="1">
        <f t="shared" si="17"/>
        <v>-17.518867924528301</v>
      </c>
      <c r="L66" s="1">
        <f t="shared" si="4"/>
        <v>5.1169811320754661</v>
      </c>
      <c r="M66" s="2">
        <f t="shared" si="5"/>
        <v>0.11715787967449569</v>
      </c>
      <c r="N66" s="1">
        <f t="shared" si="6"/>
        <v>-4.1698113207547172</v>
      </c>
      <c r="O66" s="1">
        <f t="shared" si="7"/>
        <v>-1.008490566037735</v>
      </c>
      <c r="P66" s="1">
        <f t="shared" si="8"/>
        <v>0.37735849056603776</v>
      </c>
      <c r="Q66" s="1">
        <f t="shared" si="9"/>
        <v>20159.994766685893</v>
      </c>
      <c r="S66" s="1">
        <f t="shared" si="10"/>
        <v>306.91073335706653</v>
      </c>
      <c r="T66" s="1">
        <f t="shared" si="11"/>
        <v>26.183495906016319</v>
      </c>
      <c r="U66" s="2">
        <f t="shared" si="12"/>
        <v>1.3725968769823609E-2</v>
      </c>
      <c r="V66" s="1">
        <f t="shared" si="13"/>
        <v>17.3873264506942</v>
      </c>
      <c r="W66" s="1">
        <f t="shared" si="14"/>
        <v>1.0170532217871111</v>
      </c>
      <c r="X66" s="1">
        <f t="shared" si="15"/>
        <v>0.1423994304022784</v>
      </c>
      <c r="Y66" s="1">
        <f t="shared" si="16"/>
        <v>406425388.99280262</v>
      </c>
    </row>
    <row r="67" spans="2:25" x14ac:dyDescent="0.3">
      <c r="B67" s="1">
        <v>1.3</v>
      </c>
      <c r="C67" s="1">
        <v>6</v>
      </c>
      <c r="D67" s="1">
        <v>40.299999999999997</v>
      </c>
      <c r="E67" s="2">
        <f t="shared" si="1"/>
        <v>1.4399718917486731E-2</v>
      </c>
      <c r="F67" s="1">
        <v>5</v>
      </c>
      <c r="G67" s="1">
        <v>17.2</v>
      </c>
      <c r="H67" s="3">
        <f t="shared" si="2"/>
        <v>0</v>
      </c>
      <c r="I67" s="1">
        <f t="shared" si="3"/>
        <v>9230.6278181449907</v>
      </c>
      <c r="K67" s="1">
        <f t="shared" si="17"/>
        <v>-14.518867924528301</v>
      </c>
      <c r="L67" s="1">
        <f t="shared" si="4"/>
        <v>-1.2830188679245396</v>
      </c>
      <c r="M67" s="2">
        <f t="shared" si="5"/>
        <v>-9.2092433837272294E-2</v>
      </c>
      <c r="N67" s="1">
        <f t="shared" si="6"/>
        <v>-0.16981132075471717</v>
      </c>
      <c r="O67" s="1">
        <f t="shared" si="7"/>
        <v>9.3915094339622645</v>
      </c>
      <c r="P67" s="1">
        <f t="shared" si="8"/>
        <v>-0.62264150943396224</v>
      </c>
      <c r="Q67" s="1">
        <f t="shared" si="9"/>
        <v>-3287.7622785349213</v>
      </c>
      <c r="S67" s="1">
        <f t="shared" si="10"/>
        <v>210.79752580989674</v>
      </c>
      <c r="T67" s="1">
        <f t="shared" si="11"/>
        <v>1.6461374154503672</v>
      </c>
      <c r="U67" s="2">
        <f t="shared" si="12"/>
        <v>8.4810163700723747E-3</v>
      </c>
      <c r="V67" s="1">
        <f t="shared" si="13"/>
        <v>2.8835884656461436E-2</v>
      </c>
      <c r="W67" s="1">
        <f t="shared" si="14"/>
        <v>88.200449448202207</v>
      </c>
      <c r="X67" s="1">
        <f t="shared" si="15"/>
        <v>0.3876824492702029</v>
      </c>
      <c r="Y67" s="1">
        <f t="shared" si="16"/>
        <v>10809380.800157137</v>
      </c>
    </row>
    <row r="68" spans="2:25" x14ac:dyDescent="0.3">
      <c r="B68" s="1">
        <v>3.9</v>
      </c>
      <c r="C68" s="1">
        <v>50</v>
      </c>
      <c r="D68" s="1">
        <v>48.3</v>
      </c>
      <c r="E68" s="2">
        <f t="shared" ref="E68:E108" si="18">C265/B265</f>
        <v>7.2586713857901511E-2</v>
      </c>
      <c r="F68" s="1">
        <v>2</v>
      </c>
      <c r="G68" s="1">
        <v>2.5</v>
      </c>
      <c r="H68" s="3">
        <f t="shared" ref="H68:H108" si="19">IF(F68&gt;3,0,1)</f>
        <v>1</v>
      </c>
      <c r="I68" s="1">
        <f t="shared" ref="I68:I107" si="20">D265*1000000/B265</f>
        <v>1260.8951393552957</v>
      </c>
      <c r="K68" s="1">
        <f t="shared" si="17"/>
        <v>29.481132075471699</v>
      </c>
      <c r="L68" s="1">
        <f t="shared" ref="L68:L108" si="21">D68-$D$109</f>
        <v>6.7169811320754604</v>
      </c>
      <c r="M68" s="2">
        <f t="shared" ref="M68:M108" si="22">E68-$E$109</f>
        <v>-3.3905438896857515E-2</v>
      </c>
      <c r="N68" s="1">
        <f t="shared" ref="N68:N108" si="23">F68-$F$109</f>
        <v>-3.1698113207547172</v>
      </c>
      <c r="O68" s="1">
        <f t="shared" ref="O68:O108" si="24">G68-$G$109</f>
        <v>-5.3084905660377348</v>
      </c>
      <c r="P68" s="1">
        <f t="shared" ref="P68:P108" si="25">H68-$H$109</f>
        <v>0.37735849056603776</v>
      </c>
      <c r="Q68" s="1">
        <f t="shared" ref="Q68:Q108" si="26">I68-$I$109</f>
        <v>-11257.494957324616</v>
      </c>
      <c r="S68" s="1">
        <f t="shared" ref="S68:S108" si="27">K68^2</f>
        <v>869.13714845140623</v>
      </c>
      <c r="T68" s="1">
        <f t="shared" ref="T68:T108" si="28">L68^2</f>
        <v>45.117835528657736</v>
      </c>
      <c r="U68" s="2">
        <f t="shared" ref="U68:U108" si="29">M68^2</f>
        <v>1.1495787867885385E-3</v>
      </c>
      <c r="V68" s="1">
        <f t="shared" ref="V68:V108" si="30">N68^2</f>
        <v>10.047703809184764</v>
      </c>
      <c r="W68" s="1">
        <f t="shared" ref="W68:W108" si="31">O68^2</f>
        <v>28.180072089711629</v>
      </c>
      <c r="X68" s="1">
        <f t="shared" ref="X68:X108" si="32">P68^2</f>
        <v>0.1423994304022784</v>
      </c>
      <c r="Y68" s="1">
        <f t="shared" ref="Y68:Y108" si="33">Q68^2</f>
        <v>126731192.71418916</v>
      </c>
    </row>
    <row r="69" spans="2:25" x14ac:dyDescent="0.3">
      <c r="B69" s="1">
        <v>1.8</v>
      </c>
      <c r="C69" s="1">
        <v>9</v>
      </c>
      <c r="D69" s="1">
        <v>38.799999999999997</v>
      </c>
      <c r="E69" s="2">
        <f t="shared" si="18"/>
        <v>6.1793241728766045E-3</v>
      </c>
      <c r="F69" s="1">
        <v>2</v>
      </c>
      <c r="G69" s="1">
        <v>4.5</v>
      </c>
      <c r="H69" s="3">
        <f t="shared" si="19"/>
        <v>1</v>
      </c>
      <c r="I69" s="1">
        <f t="shared" si="20"/>
        <v>16236.918254863691</v>
      </c>
      <c r="K69" s="1">
        <f t="shared" ref="K69:K107" si="34">C69-$C$109</f>
        <v>-11.518867924528301</v>
      </c>
      <c r="L69" s="1">
        <f t="shared" si="21"/>
        <v>-2.7830188679245396</v>
      </c>
      <c r="M69" s="2">
        <f t="shared" si="22"/>
        <v>-0.10031282858188242</v>
      </c>
      <c r="N69" s="1">
        <f t="shared" si="23"/>
        <v>-3.1698113207547172</v>
      </c>
      <c r="O69" s="1">
        <f t="shared" si="24"/>
        <v>-3.3084905660377348</v>
      </c>
      <c r="P69" s="1">
        <f t="shared" si="25"/>
        <v>0.37735849056603776</v>
      </c>
      <c r="Q69" s="1">
        <f t="shared" si="26"/>
        <v>3718.5281581837789</v>
      </c>
      <c r="S69" s="1">
        <f t="shared" si="27"/>
        <v>132.68431826272695</v>
      </c>
      <c r="T69" s="1">
        <f t="shared" si="28"/>
        <v>7.7451940192239856</v>
      </c>
      <c r="U69" s="2">
        <f t="shared" si="29"/>
        <v>1.0062663578098128E-2</v>
      </c>
      <c r="V69" s="1">
        <f t="shared" si="30"/>
        <v>10.047703809184764</v>
      </c>
      <c r="W69" s="1">
        <f t="shared" si="31"/>
        <v>10.946109825560692</v>
      </c>
      <c r="X69" s="1">
        <f t="shared" si="32"/>
        <v>0.1423994304022784</v>
      </c>
      <c r="Y69" s="1">
        <f t="shared" si="33"/>
        <v>13827451.663205648</v>
      </c>
    </row>
    <row r="70" spans="2:25" x14ac:dyDescent="0.3">
      <c r="B70" s="1">
        <v>1.7</v>
      </c>
      <c r="C70" s="1">
        <v>7</v>
      </c>
      <c r="D70" s="1">
        <v>24.7</v>
      </c>
      <c r="E70" s="2">
        <f t="shared" si="18"/>
        <v>1.8499881600757755E-2</v>
      </c>
      <c r="F70" s="1">
        <v>0</v>
      </c>
      <c r="G70" s="1">
        <v>6.3</v>
      </c>
      <c r="H70" s="3">
        <f t="shared" si="19"/>
        <v>1</v>
      </c>
      <c r="I70" s="1">
        <f t="shared" si="20"/>
        <v>5905.606204120294</v>
      </c>
      <c r="K70" s="1">
        <f t="shared" si="34"/>
        <v>-13.518867924528301</v>
      </c>
      <c r="L70" s="1">
        <f t="shared" si="21"/>
        <v>-16.883018867924537</v>
      </c>
      <c r="M70" s="2">
        <f t="shared" si="22"/>
        <v>-8.7992271154001267E-2</v>
      </c>
      <c r="N70" s="1">
        <f t="shared" si="23"/>
        <v>-5.1698113207547172</v>
      </c>
      <c r="O70" s="1">
        <f t="shared" si="24"/>
        <v>-1.508490566037735</v>
      </c>
      <c r="P70" s="1">
        <f t="shared" si="25"/>
        <v>0.37735849056603776</v>
      </c>
      <c r="Q70" s="1">
        <f t="shared" si="26"/>
        <v>-6612.7838925596179</v>
      </c>
      <c r="S70" s="1">
        <f t="shared" si="27"/>
        <v>182.75978996084015</v>
      </c>
      <c r="T70" s="1">
        <f t="shared" si="28"/>
        <v>285.03632609469594</v>
      </c>
      <c r="U70" s="2">
        <f t="shared" si="29"/>
        <v>7.7426397828392838E-3</v>
      </c>
      <c r="V70" s="1">
        <f t="shared" si="30"/>
        <v>26.726949092203633</v>
      </c>
      <c r="W70" s="1">
        <f t="shared" si="31"/>
        <v>2.2755437878248461</v>
      </c>
      <c r="X70" s="1">
        <f t="shared" si="32"/>
        <v>0.1423994304022784</v>
      </c>
      <c r="Y70" s="1">
        <f t="shared" si="33"/>
        <v>43728910.809695929</v>
      </c>
    </row>
    <row r="71" spans="2:25" x14ac:dyDescent="0.3">
      <c r="B71" s="1">
        <v>2.4</v>
      </c>
      <c r="C71" s="1">
        <v>19</v>
      </c>
      <c r="D71" s="1">
        <v>25.2</v>
      </c>
      <c r="E71" s="2">
        <f t="shared" si="18"/>
        <v>2.7092517696832561E-4</v>
      </c>
      <c r="F71" s="1">
        <v>0</v>
      </c>
      <c r="G71" s="1">
        <v>11.5</v>
      </c>
      <c r="H71" s="3">
        <f t="shared" si="19"/>
        <v>1</v>
      </c>
      <c r="I71" s="1">
        <f t="shared" si="20"/>
        <v>4412.5610665348886</v>
      </c>
      <c r="K71" s="1">
        <f t="shared" si="34"/>
        <v>-1.5188679245283012</v>
      </c>
      <c r="L71" s="1">
        <f t="shared" si="21"/>
        <v>-16.383018867924537</v>
      </c>
      <c r="M71" s="2">
        <f t="shared" si="22"/>
        <v>-0.10622122757779071</v>
      </c>
      <c r="N71" s="1">
        <f t="shared" si="23"/>
        <v>-5.1698113207547172</v>
      </c>
      <c r="O71" s="1">
        <f t="shared" si="24"/>
        <v>3.6915094339622652</v>
      </c>
      <c r="P71" s="1">
        <f t="shared" si="25"/>
        <v>0.37735849056603776</v>
      </c>
      <c r="Q71" s="1">
        <f t="shared" si="26"/>
        <v>-8105.8290301450234</v>
      </c>
      <c r="S71" s="1">
        <f t="shared" si="27"/>
        <v>2.3069597721609094</v>
      </c>
      <c r="T71" s="1">
        <f t="shared" si="28"/>
        <v>268.4033072267714</v>
      </c>
      <c r="U71" s="2">
        <f t="shared" si="29"/>
        <v>1.1282949188132805E-2</v>
      </c>
      <c r="V71" s="1">
        <f t="shared" si="30"/>
        <v>26.726949092203633</v>
      </c>
      <c r="W71" s="1">
        <f t="shared" si="31"/>
        <v>13.627241901032404</v>
      </c>
      <c r="X71" s="1">
        <f t="shared" si="32"/>
        <v>0.1423994304022784</v>
      </c>
      <c r="Y71" s="1">
        <f t="shared" si="33"/>
        <v>65704464.265941814</v>
      </c>
    </row>
    <row r="72" spans="2:25" x14ac:dyDescent="0.3">
      <c r="B72" s="1">
        <v>1.4</v>
      </c>
      <c r="C72" s="1">
        <v>17</v>
      </c>
      <c r="D72" s="1">
        <v>38.799999999999997</v>
      </c>
      <c r="E72" s="2">
        <f t="shared" si="18"/>
        <v>7.8630693648527091E-3</v>
      </c>
      <c r="F72" s="1">
        <v>0</v>
      </c>
      <c r="G72" s="1">
        <v>7.4</v>
      </c>
      <c r="H72" s="3">
        <f t="shared" si="19"/>
        <v>1</v>
      </c>
      <c r="I72" s="1">
        <f t="shared" si="20"/>
        <v>14138.459215831819</v>
      </c>
      <c r="K72" s="1">
        <f t="shared" si="34"/>
        <v>-3.5188679245283012</v>
      </c>
      <c r="L72" s="1">
        <f t="shared" si="21"/>
        <v>-2.7830188679245396</v>
      </c>
      <c r="M72" s="2">
        <f t="shared" si="22"/>
        <v>-9.8629083389906322E-2</v>
      </c>
      <c r="N72" s="1">
        <f t="shared" si="23"/>
        <v>-5.1698113207547172</v>
      </c>
      <c r="O72" s="1">
        <f t="shared" si="24"/>
        <v>-0.40849056603773448</v>
      </c>
      <c r="P72" s="1">
        <f t="shared" si="25"/>
        <v>0.37735849056603776</v>
      </c>
      <c r="Q72" s="1">
        <f t="shared" si="26"/>
        <v>1620.0691191519072</v>
      </c>
      <c r="S72" s="1">
        <f t="shared" si="27"/>
        <v>12.382431470274113</v>
      </c>
      <c r="T72" s="1">
        <f t="shared" si="28"/>
        <v>7.7451940192239856</v>
      </c>
      <c r="U72" s="2">
        <f t="shared" si="29"/>
        <v>9.7276960903330944E-3</v>
      </c>
      <c r="V72" s="1">
        <f t="shared" si="30"/>
        <v>26.726949092203633</v>
      </c>
      <c r="W72" s="1">
        <f t="shared" si="31"/>
        <v>0.16686454254182873</v>
      </c>
      <c r="X72" s="1">
        <f t="shared" si="32"/>
        <v>0.1423994304022784</v>
      </c>
      <c r="Y72" s="1">
        <f t="shared" si="33"/>
        <v>2624623.9508296368</v>
      </c>
    </row>
    <row r="73" spans="2:25" x14ac:dyDescent="0.3">
      <c r="B73" s="1">
        <v>4.5</v>
      </c>
      <c r="C73" s="1">
        <v>71</v>
      </c>
      <c r="D73" s="1">
        <v>32</v>
      </c>
      <c r="E73" s="2">
        <f t="shared" si="18"/>
        <v>2.1506958146169028E-3</v>
      </c>
      <c r="F73" s="1">
        <v>23</v>
      </c>
      <c r="G73" s="1">
        <v>11.3</v>
      </c>
      <c r="H73" s="3">
        <f t="shared" si="19"/>
        <v>0</v>
      </c>
      <c r="I73" s="1">
        <f t="shared" si="20"/>
        <v>2833.4019405298195</v>
      </c>
      <c r="K73" s="1">
        <f t="shared" si="34"/>
        <v>50.481132075471699</v>
      </c>
      <c r="L73" s="1">
        <f t="shared" si="21"/>
        <v>-9.5830188679245367</v>
      </c>
      <c r="M73" s="2">
        <f t="shared" si="22"/>
        <v>-0.10434145694014213</v>
      </c>
      <c r="N73" s="1">
        <f t="shared" si="23"/>
        <v>17.830188679245282</v>
      </c>
      <c r="O73" s="1">
        <f t="shared" si="24"/>
        <v>3.4915094339622659</v>
      </c>
      <c r="P73" s="1">
        <f t="shared" si="25"/>
        <v>-0.62264150943396224</v>
      </c>
      <c r="Q73" s="1">
        <f t="shared" si="26"/>
        <v>-9684.9881561500915</v>
      </c>
      <c r="S73" s="1">
        <f t="shared" si="27"/>
        <v>2548.3446956212174</v>
      </c>
      <c r="T73" s="1">
        <f t="shared" si="28"/>
        <v>91.834250622997672</v>
      </c>
      <c r="U73" s="2">
        <f t="shared" si="29"/>
        <v>1.0887139636391534E-2</v>
      </c>
      <c r="V73" s="1">
        <f t="shared" si="30"/>
        <v>317.91562833748662</v>
      </c>
      <c r="W73" s="1">
        <f t="shared" si="31"/>
        <v>12.190638127447503</v>
      </c>
      <c r="X73" s="1">
        <f t="shared" si="32"/>
        <v>0.3876824492702029</v>
      </c>
      <c r="Y73" s="1">
        <f t="shared" si="33"/>
        <v>93798995.58476755</v>
      </c>
    </row>
    <row r="74" spans="2:25" x14ac:dyDescent="0.3">
      <c r="B74" s="1">
        <v>1.9</v>
      </c>
      <c r="C74" s="1">
        <v>14</v>
      </c>
      <c r="D74" s="1">
        <v>38</v>
      </c>
      <c r="E74" s="2">
        <f t="shared" si="18"/>
        <v>5.6153303420116998E-2</v>
      </c>
      <c r="F74" s="1">
        <v>1</v>
      </c>
      <c r="G74" s="1">
        <v>4.4000000000000004</v>
      </c>
      <c r="H74" s="3">
        <f t="shared" si="19"/>
        <v>1</v>
      </c>
      <c r="I74" s="1">
        <f t="shared" si="20"/>
        <v>10666.215201346085</v>
      </c>
      <c r="K74" s="1">
        <f t="shared" si="34"/>
        <v>-6.5188679245283012</v>
      </c>
      <c r="L74" s="1">
        <f t="shared" si="21"/>
        <v>-3.5830188679245367</v>
      </c>
      <c r="M74" s="2">
        <f t="shared" si="22"/>
        <v>-5.0338849334642027E-2</v>
      </c>
      <c r="N74" s="1">
        <f t="shared" si="23"/>
        <v>-4.1698113207547172</v>
      </c>
      <c r="O74" s="1">
        <f t="shared" si="24"/>
        <v>-3.4084905660377345</v>
      </c>
      <c r="P74" s="1">
        <f t="shared" si="25"/>
        <v>0.37735849056603776</v>
      </c>
      <c r="Q74" s="1">
        <f t="shared" si="26"/>
        <v>-1852.1748953338265</v>
      </c>
      <c r="S74" s="1">
        <f t="shared" si="27"/>
        <v>42.495639017443921</v>
      </c>
      <c r="T74" s="1">
        <f t="shared" si="28"/>
        <v>12.838024207903228</v>
      </c>
      <c r="U74" s="2">
        <f t="shared" si="29"/>
        <v>2.5339997523357899E-3</v>
      </c>
      <c r="V74" s="1">
        <f t="shared" si="30"/>
        <v>17.3873264506942</v>
      </c>
      <c r="W74" s="1">
        <f t="shared" si="31"/>
        <v>11.617807938768236</v>
      </c>
      <c r="X74" s="1">
        <f t="shared" si="32"/>
        <v>0.1423994304022784</v>
      </c>
      <c r="Y74" s="1">
        <f t="shared" si="33"/>
        <v>3430551.8429048713</v>
      </c>
    </row>
    <row r="75" spans="2:25" x14ac:dyDescent="0.3">
      <c r="B75" s="1">
        <v>1.8</v>
      </c>
      <c r="C75" s="1">
        <v>15</v>
      </c>
      <c r="D75" s="1">
        <v>47.7</v>
      </c>
      <c r="E75" s="2">
        <f t="shared" si="18"/>
        <v>9.9158073586693776E-3</v>
      </c>
      <c r="F75" s="1">
        <v>1</v>
      </c>
      <c r="G75" s="1">
        <v>3.8</v>
      </c>
      <c r="H75" s="3">
        <f t="shared" si="19"/>
        <v>1</v>
      </c>
      <c r="I75" s="1">
        <f t="shared" si="20"/>
        <v>6134.6323702027012</v>
      </c>
      <c r="K75" s="1">
        <f t="shared" si="34"/>
        <v>-5.5188679245283012</v>
      </c>
      <c r="L75" s="1">
        <f t="shared" si="21"/>
        <v>6.1169811320754661</v>
      </c>
      <c r="M75" s="2">
        <f t="shared" si="22"/>
        <v>-9.6576345396089641E-2</v>
      </c>
      <c r="N75" s="1">
        <f t="shared" si="23"/>
        <v>-4.1698113207547172</v>
      </c>
      <c r="O75" s="1">
        <f t="shared" si="24"/>
        <v>-4.008490566037735</v>
      </c>
      <c r="P75" s="1">
        <f t="shared" si="25"/>
        <v>0.37735849056603776</v>
      </c>
      <c r="Q75" s="1">
        <f t="shared" si="26"/>
        <v>-6383.7577264772108</v>
      </c>
      <c r="S75" s="1">
        <f t="shared" si="27"/>
        <v>30.457903168387318</v>
      </c>
      <c r="T75" s="1">
        <f t="shared" si="28"/>
        <v>37.417458170167251</v>
      </c>
      <c r="U75" s="2">
        <f t="shared" si="29"/>
        <v>9.326990490064805E-3</v>
      </c>
      <c r="V75" s="1">
        <f t="shared" si="30"/>
        <v>17.3873264506942</v>
      </c>
      <c r="W75" s="1">
        <f t="shared" si="31"/>
        <v>16.06799661801352</v>
      </c>
      <c r="X75" s="1">
        <f t="shared" si="32"/>
        <v>0.1423994304022784</v>
      </c>
      <c r="Y75" s="1">
        <f t="shared" si="33"/>
        <v>40752362.710357487</v>
      </c>
    </row>
    <row r="76" spans="2:25" x14ac:dyDescent="0.3">
      <c r="B76" s="1">
        <v>2.9</v>
      </c>
      <c r="C76" s="1">
        <v>15</v>
      </c>
      <c r="D76" s="1">
        <v>44.8</v>
      </c>
      <c r="E76" s="2">
        <f t="shared" si="18"/>
        <v>0.35384300961781906</v>
      </c>
      <c r="F76" s="1">
        <v>1</v>
      </c>
      <c r="G76" s="1">
        <v>7</v>
      </c>
      <c r="H76" s="3">
        <f t="shared" si="19"/>
        <v>1</v>
      </c>
      <c r="I76" s="1">
        <f t="shared" si="20"/>
        <v>7018.7597802512892</v>
      </c>
      <c r="K76" s="1">
        <f t="shared" si="34"/>
        <v>-5.5188679245283012</v>
      </c>
      <c r="L76" s="1">
        <f t="shared" si="21"/>
        <v>3.2169811320754604</v>
      </c>
      <c r="M76" s="2">
        <f t="shared" si="22"/>
        <v>0.24735085686306002</v>
      </c>
      <c r="N76" s="1">
        <f t="shared" si="23"/>
        <v>-4.1698113207547172</v>
      </c>
      <c r="O76" s="1">
        <f t="shared" si="24"/>
        <v>-0.80849056603773484</v>
      </c>
      <c r="P76" s="1">
        <f t="shared" si="25"/>
        <v>0.37735849056603776</v>
      </c>
      <c r="Q76" s="1">
        <f t="shared" si="26"/>
        <v>-5499.6303164286228</v>
      </c>
      <c r="S76" s="1">
        <f t="shared" si="27"/>
        <v>30.457903168387318</v>
      </c>
      <c r="T76" s="1">
        <f t="shared" si="28"/>
        <v>10.348967604129511</v>
      </c>
      <c r="U76" s="2">
        <f t="shared" si="29"/>
        <v>6.1182446390890009E-2</v>
      </c>
      <c r="V76" s="1">
        <f t="shared" si="30"/>
        <v>17.3873264506942</v>
      </c>
      <c r="W76" s="1">
        <f t="shared" si="31"/>
        <v>0.65365699537201682</v>
      </c>
      <c r="X76" s="1">
        <f t="shared" si="32"/>
        <v>0.1423994304022784</v>
      </c>
      <c r="Y76" s="1">
        <f t="shared" si="33"/>
        <v>30245933.617380794</v>
      </c>
    </row>
    <row r="77" spans="2:25" x14ac:dyDescent="0.3">
      <c r="B77" s="1">
        <v>1.8</v>
      </c>
      <c r="C77" s="1">
        <v>2</v>
      </c>
      <c r="D77" s="1">
        <v>45.2</v>
      </c>
      <c r="E77" s="2">
        <f t="shared" si="18"/>
        <v>3.1843787117914357E-2</v>
      </c>
      <c r="F77" s="1">
        <v>0</v>
      </c>
      <c r="G77" s="1">
        <v>17.899999999999999</v>
      </c>
      <c r="H77" s="3">
        <f t="shared" si="19"/>
        <v>1</v>
      </c>
      <c r="I77" s="1">
        <f t="shared" si="20"/>
        <v>12406.992258775352</v>
      </c>
      <c r="K77" s="1">
        <f t="shared" si="34"/>
        <v>-18.518867924528301</v>
      </c>
      <c r="L77" s="1">
        <f t="shared" si="21"/>
        <v>3.6169811320754661</v>
      </c>
      <c r="M77" s="2">
        <f t="shared" si="22"/>
        <v>-7.4648365636844669E-2</v>
      </c>
      <c r="N77" s="1">
        <f t="shared" si="23"/>
        <v>-5.1698113207547172</v>
      </c>
      <c r="O77" s="1">
        <f t="shared" si="24"/>
        <v>10.091509433962264</v>
      </c>
      <c r="P77" s="1">
        <f t="shared" si="25"/>
        <v>0.37735849056603776</v>
      </c>
      <c r="Q77" s="1">
        <f t="shared" si="26"/>
        <v>-111.39783790456022</v>
      </c>
      <c r="S77" s="1">
        <f t="shared" si="27"/>
        <v>342.94846920612315</v>
      </c>
      <c r="T77" s="1">
        <f t="shared" si="28"/>
        <v>13.08255250978992</v>
      </c>
      <c r="U77" s="2">
        <f t="shared" si="29"/>
        <v>5.5723784922520518E-3</v>
      </c>
      <c r="V77" s="1">
        <f t="shared" si="30"/>
        <v>26.726949092203633</v>
      </c>
      <c r="W77" s="1">
        <f t="shared" si="31"/>
        <v>101.83856265574937</v>
      </c>
      <c r="X77" s="1">
        <f t="shared" si="32"/>
        <v>0.1423994304022784</v>
      </c>
      <c r="Y77" s="1">
        <f t="shared" si="33"/>
        <v>12409.478289810673</v>
      </c>
    </row>
    <row r="78" spans="2:25" x14ac:dyDescent="0.3">
      <c r="B78" s="1">
        <v>4.7</v>
      </c>
      <c r="C78" s="1">
        <v>71</v>
      </c>
      <c r="D78" s="1">
        <v>51.5</v>
      </c>
      <c r="E78" s="2">
        <f t="shared" si="18"/>
        <v>0.16061206634942052</v>
      </c>
      <c r="F78" s="1">
        <v>1</v>
      </c>
      <c r="G78" s="1">
        <v>3.8</v>
      </c>
      <c r="H78" s="3">
        <f t="shared" si="19"/>
        <v>1</v>
      </c>
      <c r="I78" s="1">
        <f t="shared" si="20"/>
        <v>894.30910176102168</v>
      </c>
      <c r="K78" s="1">
        <f t="shared" si="34"/>
        <v>50.481132075471699</v>
      </c>
      <c r="L78" s="1">
        <f t="shared" si="21"/>
        <v>9.9169811320754633</v>
      </c>
      <c r="M78" s="2">
        <f t="shared" si="22"/>
        <v>5.4119913594661492E-2</v>
      </c>
      <c r="N78" s="1">
        <f t="shared" si="23"/>
        <v>-4.1698113207547172</v>
      </c>
      <c r="O78" s="1">
        <f t="shared" si="24"/>
        <v>-4.008490566037735</v>
      </c>
      <c r="P78" s="1">
        <f t="shared" si="25"/>
        <v>0.37735849056603776</v>
      </c>
      <c r="Q78" s="1">
        <f t="shared" si="26"/>
        <v>-11624.08099491889</v>
      </c>
      <c r="S78" s="1">
        <f t="shared" si="27"/>
        <v>2548.3446956212174</v>
      </c>
      <c r="T78" s="1">
        <f t="shared" si="28"/>
        <v>98.34651477394074</v>
      </c>
      <c r="U78" s="2">
        <f t="shared" si="29"/>
        <v>2.9289650474936257E-3</v>
      </c>
      <c r="V78" s="1">
        <f t="shared" si="30"/>
        <v>17.3873264506942</v>
      </c>
      <c r="W78" s="1">
        <f t="shared" si="31"/>
        <v>16.06799661801352</v>
      </c>
      <c r="X78" s="1">
        <f t="shared" si="32"/>
        <v>0.1423994304022784</v>
      </c>
      <c r="Y78" s="1">
        <f t="shared" si="33"/>
        <v>135119258.97643453</v>
      </c>
    </row>
    <row r="79" spans="2:25" x14ac:dyDescent="0.3">
      <c r="B79" s="1">
        <v>3.3</v>
      </c>
      <c r="C79" s="1">
        <v>40</v>
      </c>
      <c r="D79" s="1">
        <v>49.2</v>
      </c>
      <c r="E79" s="2">
        <f t="shared" si="18"/>
        <v>1.967802810415974E-2</v>
      </c>
      <c r="F79" s="1">
        <v>1</v>
      </c>
      <c r="G79" s="1">
        <v>21.4</v>
      </c>
      <c r="H79" s="3">
        <f t="shared" si="19"/>
        <v>1</v>
      </c>
      <c r="I79" s="1">
        <f t="shared" si="20"/>
        <v>6461.6898309854168</v>
      </c>
      <c r="K79" s="1">
        <f t="shared" si="34"/>
        <v>19.481132075471699</v>
      </c>
      <c r="L79" s="1">
        <f t="shared" si="21"/>
        <v>7.6169811320754661</v>
      </c>
      <c r="M79" s="2">
        <f t="shared" si="22"/>
        <v>-8.6814124650599289E-2</v>
      </c>
      <c r="N79" s="1">
        <f t="shared" si="23"/>
        <v>-4.1698113207547172</v>
      </c>
      <c r="O79" s="1">
        <f t="shared" si="24"/>
        <v>13.591509433962264</v>
      </c>
      <c r="P79" s="1">
        <f t="shared" si="25"/>
        <v>0.37735849056603776</v>
      </c>
      <c r="Q79" s="1">
        <f t="shared" si="26"/>
        <v>-6056.7002656944951</v>
      </c>
      <c r="S79" s="1">
        <f t="shared" si="27"/>
        <v>379.51450694197229</v>
      </c>
      <c r="T79" s="1">
        <f t="shared" si="28"/>
        <v>58.018401566393649</v>
      </c>
      <c r="U79" s="2">
        <f t="shared" si="29"/>
        <v>7.5366922388497909E-3</v>
      </c>
      <c r="V79" s="1">
        <f t="shared" si="30"/>
        <v>17.3873264506942</v>
      </c>
      <c r="W79" s="1">
        <f t="shared" si="31"/>
        <v>184.72912869348522</v>
      </c>
      <c r="X79" s="1">
        <f t="shared" si="32"/>
        <v>0.1423994304022784</v>
      </c>
      <c r="Y79" s="1">
        <f t="shared" si="33"/>
        <v>36683618.108463764</v>
      </c>
    </row>
    <row r="80" spans="2:25" x14ac:dyDescent="0.3">
      <c r="B80" s="1">
        <v>6.9</v>
      </c>
      <c r="C80" s="1">
        <v>78</v>
      </c>
      <c r="D80" s="1">
        <v>41.9</v>
      </c>
      <c r="E80" s="2">
        <f t="shared" si="18"/>
        <v>7.0228652926857598E-3</v>
      </c>
      <c r="F80" s="1">
        <v>41</v>
      </c>
      <c r="G80" s="1">
        <v>0.6</v>
      </c>
      <c r="H80" s="3">
        <f t="shared" si="19"/>
        <v>0</v>
      </c>
      <c r="I80" s="1">
        <f t="shared" si="20"/>
        <v>970.51041028240013</v>
      </c>
      <c r="K80" s="1">
        <f t="shared" si="34"/>
        <v>57.481132075471699</v>
      </c>
      <c r="L80" s="1">
        <f t="shared" si="21"/>
        <v>0.31698113207546186</v>
      </c>
      <c r="M80" s="2">
        <f t="shared" si="22"/>
        <v>-9.9469287462073272E-2</v>
      </c>
      <c r="N80" s="1">
        <f t="shared" si="23"/>
        <v>35.830188679245282</v>
      </c>
      <c r="O80" s="1">
        <f t="shared" si="24"/>
        <v>-7.2084905660377352</v>
      </c>
      <c r="P80" s="1">
        <f t="shared" si="25"/>
        <v>-0.62264150943396224</v>
      </c>
      <c r="Q80" s="1">
        <f t="shared" si="26"/>
        <v>-11547.879686397511</v>
      </c>
      <c r="S80" s="1">
        <f t="shared" si="27"/>
        <v>3304.0805446778213</v>
      </c>
      <c r="T80" s="1">
        <f t="shared" si="28"/>
        <v>0.1004770380918414</v>
      </c>
      <c r="U80" s="2">
        <f t="shared" si="29"/>
        <v>9.8941391482125669E-3</v>
      </c>
      <c r="V80" s="1">
        <f t="shared" si="30"/>
        <v>1283.8024207903168</v>
      </c>
      <c r="W80" s="1">
        <f t="shared" si="31"/>
        <v>51.962336240655027</v>
      </c>
      <c r="X80" s="1">
        <f t="shared" si="32"/>
        <v>0.3876824492702029</v>
      </c>
      <c r="Y80" s="1">
        <f t="shared" si="33"/>
        <v>133353525.25151229</v>
      </c>
    </row>
    <row r="81" spans="2:25" x14ac:dyDescent="0.3">
      <c r="B81" s="1">
        <v>1.5</v>
      </c>
      <c r="C81" s="1">
        <v>2</v>
      </c>
      <c r="D81" s="1">
        <v>48.4</v>
      </c>
      <c r="E81" s="2">
        <f t="shared" si="18"/>
        <v>0.11067576593624966</v>
      </c>
      <c r="F81" s="1">
        <v>0</v>
      </c>
      <c r="G81" s="1">
        <v>4.4000000000000004</v>
      </c>
      <c r="H81" s="3">
        <f t="shared" si="19"/>
        <v>1</v>
      </c>
      <c r="I81" s="1">
        <f t="shared" si="20"/>
        <v>26000.44897469048</v>
      </c>
      <c r="K81" s="1">
        <f t="shared" si="34"/>
        <v>-18.518867924528301</v>
      </c>
      <c r="L81" s="1">
        <f t="shared" si="21"/>
        <v>6.8169811320754619</v>
      </c>
      <c r="M81" s="2">
        <f t="shared" si="22"/>
        <v>4.1836131814906308E-3</v>
      </c>
      <c r="N81" s="1">
        <f t="shared" si="23"/>
        <v>-5.1698113207547172</v>
      </c>
      <c r="O81" s="1">
        <f t="shared" si="24"/>
        <v>-3.4084905660377345</v>
      </c>
      <c r="P81" s="1">
        <f t="shared" si="25"/>
        <v>0.37735849056603776</v>
      </c>
      <c r="Q81" s="1">
        <f t="shared" si="26"/>
        <v>13482.058878010568</v>
      </c>
      <c r="S81" s="1">
        <f t="shared" si="27"/>
        <v>342.94846920612315</v>
      </c>
      <c r="T81" s="1">
        <f t="shared" si="28"/>
        <v>46.471231755072843</v>
      </c>
      <c r="U81" s="2">
        <f t="shared" si="29"/>
        <v>1.7502619252342156E-5</v>
      </c>
      <c r="V81" s="1">
        <f t="shared" si="30"/>
        <v>26.726949092203633</v>
      </c>
      <c r="W81" s="1">
        <f t="shared" si="31"/>
        <v>11.617807938768236</v>
      </c>
      <c r="X81" s="1">
        <f t="shared" si="32"/>
        <v>0.1423994304022784</v>
      </c>
      <c r="Y81" s="1">
        <f t="shared" si="33"/>
        <v>181765911.59014359</v>
      </c>
    </row>
    <row r="82" spans="2:25" x14ac:dyDescent="0.3">
      <c r="B82" s="1">
        <v>1.6</v>
      </c>
      <c r="C82" s="1">
        <v>5</v>
      </c>
      <c r="D82" s="1">
        <v>47.2</v>
      </c>
      <c r="E82" s="2">
        <f t="shared" si="18"/>
        <v>0.39608206405621627</v>
      </c>
      <c r="F82" s="1">
        <v>0</v>
      </c>
      <c r="G82" s="1">
        <v>4.5999999999999996</v>
      </c>
      <c r="H82" s="3">
        <f t="shared" si="19"/>
        <v>1</v>
      </c>
      <c r="I82" s="1">
        <f t="shared" si="20"/>
        <v>24139.05342193129</v>
      </c>
      <c r="K82" s="1">
        <f t="shared" si="34"/>
        <v>-15.518867924528301</v>
      </c>
      <c r="L82" s="1">
        <f t="shared" si="21"/>
        <v>5.6169811320754661</v>
      </c>
      <c r="M82" s="2">
        <f t="shared" si="22"/>
        <v>0.28958991130145723</v>
      </c>
      <c r="N82" s="1">
        <f t="shared" si="23"/>
        <v>-5.1698113207547172</v>
      </c>
      <c r="O82" s="1">
        <f t="shared" si="24"/>
        <v>-3.2084905660377352</v>
      </c>
      <c r="P82" s="1">
        <f t="shared" si="25"/>
        <v>0.37735849056603776</v>
      </c>
      <c r="Q82" s="1">
        <f t="shared" si="26"/>
        <v>11620.663325251378</v>
      </c>
      <c r="S82" s="1">
        <f t="shared" si="27"/>
        <v>240.83526165895336</v>
      </c>
      <c r="T82" s="1">
        <f t="shared" si="28"/>
        <v>31.550477038091785</v>
      </c>
      <c r="U82" s="2">
        <f t="shared" si="29"/>
        <v>8.3862316727585859E-2</v>
      </c>
      <c r="V82" s="1">
        <f t="shared" si="30"/>
        <v>26.726949092203633</v>
      </c>
      <c r="W82" s="1">
        <f t="shared" si="31"/>
        <v>10.294411712353146</v>
      </c>
      <c r="X82" s="1">
        <f t="shared" si="32"/>
        <v>0.1423994304022784</v>
      </c>
      <c r="Y82" s="1">
        <f t="shared" si="33"/>
        <v>135039816.11884242</v>
      </c>
    </row>
    <row r="83" spans="2:25" x14ac:dyDescent="0.3">
      <c r="B83" s="1">
        <v>2.7</v>
      </c>
      <c r="C83" s="1">
        <v>11</v>
      </c>
      <c r="D83" s="1">
        <v>14.1</v>
      </c>
      <c r="E83" s="2">
        <f t="shared" si="18"/>
        <v>1.95824013742146E-3</v>
      </c>
      <c r="F83" s="1">
        <v>2</v>
      </c>
      <c r="G83" s="1">
        <v>2.9</v>
      </c>
      <c r="H83" s="3">
        <f t="shared" si="19"/>
        <v>1</v>
      </c>
      <c r="I83" s="1">
        <f t="shared" si="20"/>
        <v>12557.974678388431</v>
      </c>
      <c r="K83" s="1">
        <f t="shared" si="34"/>
        <v>-9.5188679245283012</v>
      </c>
      <c r="L83" s="1">
        <f t="shared" si="21"/>
        <v>-27.483018867924535</v>
      </c>
      <c r="M83" s="2">
        <f t="shared" si="22"/>
        <v>-0.10453391261733756</v>
      </c>
      <c r="N83" s="1">
        <f t="shared" si="23"/>
        <v>-3.1698113207547172</v>
      </c>
      <c r="O83" s="1">
        <f t="shared" si="24"/>
        <v>-4.9084905660377345</v>
      </c>
      <c r="P83" s="1">
        <f t="shared" si="25"/>
        <v>0.37735849056603776</v>
      </c>
      <c r="Q83" s="1">
        <f t="shared" si="26"/>
        <v>39.584581708519181</v>
      </c>
      <c r="S83" s="1">
        <f t="shared" si="27"/>
        <v>90.608846564613728</v>
      </c>
      <c r="T83" s="1">
        <f t="shared" si="28"/>
        <v>755.31632609469602</v>
      </c>
      <c r="U83" s="2">
        <f t="shared" si="29"/>
        <v>1.0927338887089166E-2</v>
      </c>
      <c r="V83" s="1">
        <f t="shared" si="30"/>
        <v>10.047703809184764</v>
      </c>
      <c r="W83" s="1">
        <f t="shared" si="31"/>
        <v>24.093279636881441</v>
      </c>
      <c r="X83" s="1">
        <f t="shared" si="32"/>
        <v>0.1423994304022784</v>
      </c>
      <c r="Y83" s="1">
        <f t="shared" si="33"/>
        <v>1566.9391090384313</v>
      </c>
    </row>
    <row r="84" spans="2:25" x14ac:dyDescent="0.3">
      <c r="B84" s="1">
        <v>2.9</v>
      </c>
      <c r="C84" s="1">
        <v>14</v>
      </c>
      <c r="D84" s="1">
        <v>39.4</v>
      </c>
      <c r="E84" s="2">
        <f t="shared" si="18"/>
        <v>7.1707712908490829E-3</v>
      </c>
      <c r="F84" s="1">
        <v>1</v>
      </c>
      <c r="G84" s="1">
        <v>7</v>
      </c>
      <c r="H84" s="3">
        <f t="shared" si="19"/>
        <v>1</v>
      </c>
      <c r="I84" s="1">
        <f t="shared" si="20"/>
        <v>4786.2537987534388</v>
      </c>
      <c r="K84" s="1">
        <f t="shared" si="34"/>
        <v>-6.5188679245283012</v>
      </c>
      <c r="L84" s="1">
        <f t="shared" si="21"/>
        <v>-2.1830188679245381</v>
      </c>
      <c r="M84" s="2">
        <f t="shared" si="22"/>
        <v>-9.9321381463909938E-2</v>
      </c>
      <c r="N84" s="1">
        <f t="shared" si="23"/>
        <v>-4.1698113207547172</v>
      </c>
      <c r="O84" s="1">
        <f t="shared" si="24"/>
        <v>-0.80849056603773484</v>
      </c>
      <c r="P84" s="1">
        <f t="shared" si="25"/>
        <v>0.37735849056603776</v>
      </c>
      <c r="Q84" s="1">
        <f t="shared" si="26"/>
        <v>-7732.1362979264732</v>
      </c>
      <c r="S84" s="1">
        <f t="shared" si="27"/>
        <v>42.495639017443921</v>
      </c>
      <c r="T84" s="1">
        <f t="shared" si="28"/>
        <v>4.7655713777145321</v>
      </c>
      <c r="U84" s="2">
        <f t="shared" si="29"/>
        <v>9.8647368158995136E-3</v>
      </c>
      <c r="V84" s="1">
        <f t="shared" si="30"/>
        <v>17.3873264506942</v>
      </c>
      <c r="W84" s="1">
        <f t="shared" si="31"/>
        <v>0.65365699537201682</v>
      </c>
      <c r="X84" s="1">
        <f t="shared" si="32"/>
        <v>0.1423994304022784</v>
      </c>
      <c r="Y84" s="1">
        <f t="shared" si="33"/>
        <v>59785931.729712106</v>
      </c>
    </row>
    <row r="85" spans="2:25" x14ac:dyDescent="0.3">
      <c r="B85" s="1">
        <v>2.2999999999999998</v>
      </c>
      <c r="C85" s="1">
        <v>14</v>
      </c>
      <c r="D85" s="1">
        <v>40.6</v>
      </c>
      <c r="E85" s="2">
        <f t="shared" si="18"/>
        <v>4.6352444987180073E-2</v>
      </c>
      <c r="F85" s="1">
        <v>11</v>
      </c>
      <c r="G85" s="1">
        <v>12.9</v>
      </c>
      <c r="H85" s="3">
        <f t="shared" si="19"/>
        <v>0</v>
      </c>
      <c r="I85" s="1">
        <f t="shared" si="20"/>
        <v>14181.006761199387</v>
      </c>
      <c r="K85" s="1">
        <f t="shared" si="34"/>
        <v>-6.5188679245283012</v>
      </c>
      <c r="L85" s="1">
        <f t="shared" si="21"/>
        <v>-0.9830188679245353</v>
      </c>
      <c r="M85" s="2">
        <f t="shared" si="22"/>
        <v>-6.0139707767578952E-2</v>
      </c>
      <c r="N85" s="1">
        <f t="shared" si="23"/>
        <v>5.8301886792452828</v>
      </c>
      <c r="O85" s="1">
        <f t="shared" si="24"/>
        <v>5.0915094339622655</v>
      </c>
      <c r="P85" s="1">
        <f t="shared" si="25"/>
        <v>-0.62264150943396224</v>
      </c>
      <c r="Q85" s="1">
        <f t="shared" si="26"/>
        <v>1662.6166645194753</v>
      </c>
      <c r="S85" s="1">
        <f t="shared" si="27"/>
        <v>42.495639017443921</v>
      </c>
      <c r="T85" s="1">
        <f t="shared" si="28"/>
        <v>0.96632609469563502</v>
      </c>
      <c r="U85" s="2">
        <f t="shared" si="29"/>
        <v>3.6167844503697962E-3</v>
      </c>
      <c r="V85" s="1">
        <f t="shared" si="30"/>
        <v>33.991100035599857</v>
      </c>
      <c r="W85" s="1">
        <f t="shared" si="31"/>
        <v>25.923468316126751</v>
      </c>
      <c r="X85" s="1">
        <f t="shared" si="32"/>
        <v>0.3876824492702029</v>
      </c>
      <c r="Y85" s="1">
        <f t="shared" si="33"/>
        <v>2764294.1731378655</v>
      </c>
    </row>
    <row r="86" spans="2:25" x14ac:dyDescent="0.3">
      <c r="B86" s="1">
        <v>1.6</v>
      </c>
      <c r="C86" s="1">
        <v>4</v>
      </c>
      <c r="D86" s="1">
        <v>46.9</v>
      </c>
      <c r="E86" s="2">
        <f t="shared" si="18"/>
        <v>0.44062190835157683</v>
      </c>
      <c r="F86" s="1">
        <v>0</v>
      </c>
      <c r="G86" s="1">
        <v>3.8</v>
      </c>
      <c r="H86" s="3">
        <f t="shared" si="19"/>
        <v>1</v>
      </c>
      <c r="I86" s="1">
        <f t="shared" si="20"/>
        <v>22602.804969888308</v>
      </c>
      <c r="K86" s="1">
        <f t="shared" si="34"/>
        <v>-16.518867924528301</v>
      </c>
      <c r="L86" s="1">
        <f t="shared" si="21"/>
        <v>5.3169811320754619</v>
      </c>
      <c r="M86" s="2">
        <f t="shared" si="22"/>
        <v>0.33412975559681779</v>
      </c>
      <c r="N86" s="1">
        <f t="shared" si="23"/>
        <v>-5.1698113207547172</v>
      </c>
      <c r="O86" s="1">
        <f t="shared" si="24"/>
        <v>-4.008490566037735</v>
      </c>
      <c r="P86" s="1">
        <f t="shared" si="25"/>
        <v>0.37735849056603776</v>
      </c>
      <c r="Q86" s="1">
        <f t="shared" si="26"/>
        <v>10084.414873208396</v>
      </c>
      <c r="S86" s="1">
        <f t="shared" si="27"/>
        <v>272.87299750800997</v>
      </c>
      <c r="T86" s="1">
        <f t="shared" si="28"/>
        <v>28.270288358846461</v>
      </c>
      <c r="U86" s="2">
        <f t="shared" si="29"/>
        <v>0.11164269357518919</v>
      </c>
      <c r="V86" s="1">
        <f t="shared" si="30"/>
        <v>26.726949092203633</v>
      </c>
      <c r="W86" s="1">
        <f t="shared" si="31"/>
        <v>16.06799661801352</v>
      </c>
      <c r="X86" s="1">
        <f t="shared" si="32"/>
        <v>0.1423994304022784</v>
      </c>
      <c r="Y86" s="1">
        <f t="shared" si="33"/>
        <v>101695423.3349867</v>
      </c>
    </row>
    <row r="87" spans="2:25" x14ac:dyDescent="0.3">
      <c r="B87" s="1">
        <v>2.8</v>
      </c>
      <c r="C87" s="1">
        <v>26</v>
      </c>
      <c r="D87" s="1">
        <v>38.700000000000003</v>
      </c>
      <c r="E87" s="2">
        <f t="shared" si="18"/>
        <v>1.0038229410373203E-3</v>
      </c>
      <c r="F87" s="1">
        <v>4</v>
      </c>
      <c r="G87" s="1">
        <v>2.5</v>
      </c>
      <c r="H87" s="3">
        <f t="shared" si="19"/>
        <v>0</v>
      </c>
      <c r="I87" s="1">
        <f t="shared" si="20"/>
        <v>6064.4930870273056</v>
      </c>
      <c r="K87" s="1">
        <f t="shared" si="34"/>
        <v>5.4811320754716988</v>
      </c>
      <c r="L87" s="1">
        <f t="shared" si="21"/>
        <v>-2.8830188679245339</v>
      </c>
      <c r="M87" s="2">
        <f t="shared" si="22"/>
        <v>-0.10548832981372171</v>
      </c>
      <c r="N87" s="1">
        <f t="shared" si="23"/>
        <v>-1.1698113207547172</v>
      </c>
      <c r="O87" s="1">
        <f t="shared" si="24"/>
        <v>-5.3084905660377348</v>
      </c>
      <c r="P87" s="1">
        <f t="shared" si="25"/>
        <v>-0.62264150943396224</v>
      </c>
      <c r="Q87" s="1">
        <f t="shared" si="26"/>
        <v>-6453.8970096526064</v>
      </c>
      <c r="S87" s="1">
        <f t="shared" si="27"/>
        <v>30.042808828764691</v>
      </c>
      <c r="T87" s="1">
        <f t="shared" si="28"/>
        <v>8.3117977928088607</v>
      </c>
      <c r="U87" s="2">
        <f t="shared" si="29"/>
        <v>1.1127787726888529E-2</v>
      </c>
      <c r="V87" s="1">
        <f t="shared" si="30"/>
        <v>1.3684585261658957</v>
      </c>
      <c r="W87" s="1">
        <f t="shared" si="31"/>
        <v>28.180072089711629</v>
      </c>
      <c r="X87" s="1">
        <f t="shared" si="32"/>
        <v>0.3876824492702029</v>
      </c>
      <c r="Y87" s="1">
        <f t="shared" si="33"/>
        <v>41652786.611202851</v>
      </c>
    </row>
    <row r="88" spans="2:25" x14ac:dyDescent="0.3">
      <c r="B88" s="1">
        <v>1.4</v>
      </c>
      <c r="C88" s="1">
        <v>4</v>
      </c>
      <c r="D88" s="1">
        <v>44.5</v>
      </c>
      <c r="E88" s="2">
        <f t="shared" si="18"/>
        <v>7.3454397277473535E-2</v>
      </c>
      <c r="F88" s="1">
        <v>0</v>
      </c>
      <c r="G88" s="1">
        <v>3.2</v>
      </c>
      <c r="H88" s="3">
        <f t="shared" si="19"/>
        <v>1</v>
      </c>
      <c r="I88" s="1">
        <f t="shared" si="20"/>
        <v>18030.823948807465</v>
      </c>
      <c r="K88" s="1">
        <f t="shared" si="34"/>
        <v>-16.518867924528301</v>
      </c>
      <c r="L88" s="1">
        <f t="shared" si="21"/>
        <v>2.9169811320754633</v>
      </c>
      <c r="M88" s="2">
        <f t="shared" si="22"/>
        <v>-3.3037755477285491E-2</v>
      </c>
      <c r="N88" s="1">
        <f t="shared" si="23"/>
        <v>-5.1698113207547172</v>
      </c>
      <c r="O88" s="1">
        <f t="shared" si="24"/>
        <v>-4.6084905660377347</v>
      </c>
      <c r="P88" s="1">
        <f t="shared" si="25"/>
        <v>0.37735849056603776</v>
      </c>
      <c r="Q88" s="1">
        <f t="shared" si="26"/>
        <v>5512.4338521275531</v>
      </c>
      <c r="S88" s="1">
        <f t="shared" si="27"/>
        <v>272.87299750800997</v>
      </c>
      <c r="T88" s="1">
        <f t="shared" si="28"/>
        <v>8.5087789248842505</v>
      </c>
      <c r="U88" s="2">
        <f t="shared" si="29"/>
        <v>1.0914932869769075E-3</v>
      </c>
      <c r="V88" s="1">
        <f t="shared" si="30"/>
        <v>26.726949092203633</v>
      </c>
      <c r="W88" s="1">
        <f t="shared" si="31"/>
        <v>21.238185297258799</v>
      </c>
      <c r="X88" s="1">
        <f t="shared" si="32"/>
        <v>0.1423994304022784</v>
      </c>
      <c r="Y88" s="1">
        <f t="shared" si="33"/>
        <v>30386926.974081814</v>
      </c>
    </row>
    <row r="89" spans="2:25" x14ac:dyDescent="0.3">
      <c r="B89" s="1">
        <v>1.4</v>
      </c>
      <c r="C89" s="1">
        <v>3</v>
      </c>
      <c r="D89" s="1">
        <v>49.3</v>
      </c>
      <c r="E89" s="2">
        <f t="shared" si="18"/>
        <v>8.728306358453497E-2</v>
      </c>
      <c r="F89" s="1">
        <v>0</v>
      </c>
      <c r="G89" s="1">
        <v>6.8</v>
      </c>
      <c r="H89" s="3">
        <f t="shared" si="19"/>
        <v>1</v>
      </c>
      <c r="I89" s="1">
        <f t="shared" si="20"/>
        <v>19344.374738947634</v>
      </c>
      <c r="K89" s="1">
        <f t="shared" si="34"/>
        <v>-17.518867924528301</v>
      </c>
      <c r="L89" s="1">
        <f t="shared" si="21"/>
        <v>7.7169811320754604</v>
      </c>
      <c r="M89" s="2">
        <f t="shared" si="22"/>
        <v>-1.9209089170224056E-2</v>
      </c>
      <c r="N89" s="1">
        <f t="shared" si="23"/>
        <v>-5.1698113207547172</v>
      </c>
      <c r="O89" s="1">
        <f t="shared" si="24"/>
        <v>-1.008490566037735</v>
      </c>
      <c r="P89" s="1">
        <f t="shared" si="25"/>
        <v>0.37735849056603776</v>
      </c>
      <c r="Q89" s="1">
        <f t="shared" si="26"/>
        <v>6825.9846422677219</v>
      </c>
      <c r="S89" s="1">
        <f t="shared" si="27"/>
        <v>306.91073335706653</v>
      </c>
      <c r="T89" s="1">
        <f t="shared" si="28"/>
        <v>59.551797792808657</v>
      </c>
      <c r="U89" s="2">
        <f t="shared" si="29"/>
        <v>3.6898910674961909E-4</v>
      </c>
      <c r="V89" s="1">
        <f t="shared" si="30"/>
        <v>26.726949092203633</v>
      </c>
      <c r="W89" s="1">
        <f t="shared" si="31"/>
        <v>1.0170532217871111</v>
      </c>
      <c r="X89" s="1">
        <f t="shared" si="32"/>
        <v>0.1423994304022784</v>
      </c>
      <c r="Y89" s="1">
        <f t="shared" si="33"/>
        <v>46594066.336474799</v>
      </c>
    </row>
    <row r="90" spans="2:25" x14ac:dyDescent="0.3">
      <c r="B90" s="1">
        <v>1.8</v>
      </c>
      <c r="C90" s="1">
        <v>6</v>
      </c>
      <c r="D90" s="1">
        <v>15.4</v>
      </c>
      <c r="E90" s="2">
        <f t="shared" si="18"/>
        <v>6.941906309949869E-3</v>
      </c>
      <c r="F90" s="1">
        <v>2</v>
      </c>
      <c r="G90" s="1">
        <v>0.2</v>
      </c>
      <c r="H90" s="3">
        <f t="shared" si="19"/>
        <v>1</v>
      </c>
      <c r="I90" s="1">
        <f t="shared" si="20"/>
        <v>17823.455521297248</v>
      </c>
      <c r="K90" s="1">
        <f t="shared" si="34"/>
        <v>-14.518867924528301</v>
      </c>
      <c r="L90" s="1">
        <f t="shared" si="21"/>
        <v>-26.183018867924538</v>
      </c>
      <c r="M90" s="2">
        <f t="shared" si="22"/>
        <v>-9.9550246444809157E-2</v>
      </c>
      <c r="N90" s="1">
        <f t="shared" si="23"/>
        <v>-3.1698113207547172</v>
      </c>
      <c r="O90" s="1">
        <f t="shared" si="24"/>
        <v>-7.6084905660377347</v>
      </c>
      <c r="P90" s="1">
        <f t="shared" si="25"/>
        <v>0.37735849056603776</v>
      </c>
      <c r="Q90" s="1">
        <f t="shared" si="26"/>
        <v>5305.0654246173362</v>
      </c>
      <c r="S90" s="1">
        <f t="shared" si="27"/>
        <v>210.79752580989674</v>
      </c>
      <c r="T90" s="1">
        <f t="shared" si="28"/>
        <v>685.55047703809237</v>
      </c>
      <c r="U90" s="2">
        <f t="shared" si="29"/>
        <v>9.9102515672222381E-3</v>
      </c>
      <c r="V90" s="1">
        <f t="shared" si="30"/>
        <v>10.047703809184764</v>
      </c>
      <c r="W90" s="1">
        <f t="shared" si="31"/>
        <v>57.889128693485205</v>
      </c>
      <c r="X90" s="1">
        <f t="shared" si="32"/>
        <v>0.1423994304022784</v>
      </c>
      <c r="Y90" s="1">
        <f t="shared" si="33"/>
        <v>28143719.15947032</v>
      </c>
    </row>
    <row r="91" spans="2:25" x14ac:dyDescent="0.3">
      <c r="B91" s="1">
        <v>2.2999999999999998</v>
      </c>
      <c r="C91" s="1">
        <v>34</v>
      </c>
      <c r="D91" s="1">
        <v>39.299999999999997</v>
      </c>
      <c r="E91" s="2">
        <f t="shared" si="18"/>
        <v>0.11338589645378695</v>
      </c>
      <c r="F91" s="1">
        <v>4</v>
      </c>
      <c r="G91" s="1">
        <v>6.1</v>
      </c>
      <c r="H91" s="3">
        <f t="shared" si="19"/>
        <v>0</v>
      </c>
      <c r="I91" s="1">
        <f t="shared" si="20"/>
        <v>11327.126607798184</v>
      </c>
      <c r="K91" s="1">
        <f t="shared" si="34"/>
        <v>13.481132075471699</v>
      </c>
      <c r="L91" s="1">
        <f t="shared" si="21"/>
        <v>-2.2830188679245396</v>
      </c>
      <c r="M91" s="2">
        <f t="shared" si="22"/>
        <v>6.8937436990279266E-3</v>
      </c>
      <c r="N91" s="1">
        <f t="shared" si="23"/>
        <v>-1.1698113207547172</v>
      </c>
      <c r="O91" s="1">
        <f t="shared" si="24"/>
        <v>-1.7084905660377352</v>
      </c>
      <c r="P91" s="1">
        <f t="shared" si="25"/>
        <v>-0.62264150943396224</v>
      </c>
      <c r="Q91" s="1">
        <f t="shared" si="26"/>
        <v>-1191.2634888817283</v>
      </c>
      <c r="S91" s="1">
        <f t="shared" si="27"/>
        <v>181.74092203631187</v>
      </c>
      <c r="T91" s="1">
        <f t="shared" si="28"/>
        <v>5.2121751512994461</v>
      </c>
      <c r="U91" s="2">
        <f t="shared" si="29"/>
        <v>4.7523702187887242E-5</v>
      </c>
      <c r="V91" s="1">
        <f t="shared" si="30"/>
        <v>1.3684585261658957</v>
      </c>
      <c r="W91" s="1">
        <f t="shared" si="31"/>
        <v>2.9189400142399409</v>
      </c>
      <c r="X91" s="1">
        <f t="shared" si="32"/>
        <v>0.3876824492702029</v>
      </c>
      <c r="Y91" s="1">
        <f t="shared" si="33"/>
        <v>1419108.6999426677</v>
      </c>
    </row>
    <row r="92" spans="2:25" x14ac:dyDescent="0.3">
      <c r="B92" s="1">
        <v>1.7</v>
      </c>
      <c r="C92" s="1">
        <v>3</v>
      </c>
      <c r="D92" s="1">
        <v>44.3</v>
      </c>
      <c r="E92" s="2">
        <f t="shared" si="18"/>
        <v>0.77318280796277439</v>
      </c>
      <c r="F92" s="1">
        <v>1</v>
      </c>
      <c r="G92" s="1">
        <v>2.5</v>
      </c>
      <c r="H92" s="3">
        <f t="shared" si="19"/>
        <v>1</v>
      </c>
      <c r="I92" s="1">
        <f t="shared" si="20"/>
        <v>16362.344839345593</v>
      </c>
      <c r="K92" s="1">
        <f t="shared" si="34"/>
        <v>-17.518867924528301</v>
      </c>
      <c r="L92" s="1">
        <f t="shared" si="21"/>
        <v>2.7169811320754604</v>
      </c>
      <c r="M92" s="2">
        <f t="shared" si="22"/>
        <v>0.6666906552080154</v>
      </c>
      <c r="N92" s="1">
        <f t="shared" si="23"/>
        <v>-4.1698113207547172</v>
      </c>
      <c r="O92" s="1">
        <f t="shared" si="24"/>
        <v>-5.3084905660377348</v>
      </c>
      <c r="P92" s="1">
        <f t="shared" si="25"/>
        <v>0.37735849056603776</v>
      </c>
      <c r="Q92" s="1">
        <f t="shared" si="26"/>
        <v>3843.9547426656809</v>
      </c>
      <c r="S92" s="1">
        <f t="shared" si="27"/>
        <v>306.91073335706653</v>
      </c>
      <c r="T92" s="1">
        <f t="shared" si="28"/>
        <v>7.3819864720540505</v>
      </c>
      <c r="U92" s="2">
        <f t="shared" si="29"/>
        <v>0.44447642974169288</v>
      </c>
      <c r="V92" s="1">
        <f t="shared" si="30"/>
        <v>17.3873264506942</v>
      </c>
      <c r="W92" s="1">
        <f t="shared" si="31"/>
        <v>28.180072089711629</v>
      </c>
      <c r="X92" s="1">
        <f t="shared" si="32"/>
        <v>0.1423994304022784</v>
      </c>
      <c r="Y92" s="1">
        <f t="shared" si="33"/>
        <v>14775988.063661981</v>
      </c>
    </row>
    <row r="93" spans="2:25" x14ac:dyDescent="0.3">
      <c r="B93" s="1">
        <v>1.6</v>
      </c>
      <c r="C93" s="1">
        <v>7</v>
      </c>
      <c r="D93" s="1">
        <v>43</v>
      </c>
      <c r="E93" s="2">
        <f t="shared" si="18"/>
        <v>1.0396258054046091E-3</v>
      </c>
      <c r="F93" s="1">
        <v>12</v>
      </c>
      <c r="G93" s="1">
        <v>5</v>
      </c>
      <c r="H93" s="3">
        <f t="shared" si="19"/>
        <v>0</v>
      </c>
      <c r="I93" s="1">
        <f t="shared" si="20"/>
        <v>17346.579171065801</v>
      </c>
      <c r="K93" s="1">
        <f t="shared" si="34"/>
        <v>-13.518867924528301</v>
      </c>
      <c r="L93" s="1">
        <f t="shared" si="21"/>
        <v>1.4169811320754633</v>
      </c>
      <c r="M93" s="2">
        <f t="shared" si="22"/>
        <v>-0.10545252694935442</v>
      </c>
      <c r="N93" s="1">
        <f t="shared" si="23"/>
        <v>6.8301886792452828</v>
      </c>
      <c r="O93" s="1">
        <f t="shared" si="24"/>
        <v>-2.8084905660377348</v>
      </c>
      <c r="P93" s="1">
        <f t="shared" si="25"/>
        <v>-0.62264150943396224</v>
      </c>
      <c r="Q93" s="1">
        <f t="shared" si="26"/>
        <v>4828.1890743858894</v>
      </c>
      <c r="S93" s="1">
        <f t="shared" si="27"/>
        <v>182.75978996084015</v>
      </c>
      <c r="T93" s="1">
        <f t="shared" si="28"/>
        <v>2.0078355286578615</v>
      </c>
      <c r="U93" s="2">
        <f t="shared" si="29"/>
        <v>1.112023544000432E-2</v>
      </c>
      <c r="V93" s="1">
        <f t="shared" si="30"/>
        <v>46.651477394090421</v>
      </c>
      <c r="W93" s="1">
        <f t="shared" si="31"/>
        <v>7.887619259522956</v>
      </c>
      <c r="X93" s="1">
        <f t="shared" si="32"/>
        <v>0.3876824492702029</v>
      </c>
      <c r="Y93" s="1">
        <f t="shared" si="33"/>
        <v>23311409.738019273</v>
      </c>
    </row>
    <row r="94" spans="2:25" x14ac:dyDescent="0.3">
      <c r="B94" s="1">
        <v>1.6</v>
      </c>
      <c r="C94" s="1">
        <v>4</v>
      </c>
      <c r="D94" s="1">
        <v>47.6</v>
      </c>
      <c r="E94" s="2">
        <f t="shared" si="18"/>
        <v>0.29564264720164513</v>
      </c>
      <c r="F94" s="1">
        <v>2</v>
      </c>
      <c r="G94" s="1">
        <v>4.5</v>
      </c>
      <c r="H94" s="3">
        <f t="shared" si="19"/>
        <v>1</v>
      </c>
      <c r="I94" s="1">
        <f t="shared" si="20"/>
        <v>24684.71980184548</v>
      </c>
      <c r="K94" s="1">
        <f t="shared" si="34"/>
        <v>-16.518867924528301</v>
      </c>
      <c r="L94" s="1">
        <f t="shared" si="21"/>
        <v>6.0169811320754647</v>
      </c>
      <c r="M94" s="2">
        <f t="shared" si="22"/>
        <v>0.18915049444688609</v>
      </c>
      <c r="N94" s="1">
        <f t="shared" si="23"/>
        <v>-3.1698113207547172</v>
      </c>
      <c r="O94" s="1">
        <f t="shared" si="24"/>
        <v>-3.3084905660377348</v>
      </c>
      <c r="P94" s="1">
        <f t="shared" si="25"/>
        <v>0.37735849056603776</v>
      </c>
      <c r="Q94" s="1">
        <f t="shared" si="26"/>
        <v>12166.329705165568</v>
      </c>
      <c r="S94" s="1">
        <f t="shared" si="27"/>
        <v>272.87299750800997</v>
      </c>
      <c r="T94" s="1">
        <f t="shared" si="28"/>
        <v>36.204061943752144</v>
      </c>
      <c r="U94" s="2">
        <f t="shared" si="29"/>
        <v>3.5777909549501483E-2</v>
      </c>
      <c r="V94" s="1">
        <f t="shared" si="30"/>
        <v>10.047703809184764</v>
      </c>
      <c r="W94" s="1">
        <f t="shared" si="31"/>
        <v>10.946109825560692</v>
      </c>
      <c r="X94" s="1">
        <f t="shared" si="32"/>
        <v>0.1423994304022784</v>
      </c>
      <c r="Y94" s="1">
        <f t="shared" si="33"/>
        <v>148019578.4947941</v>
      </c>
    </row>
    <row r="95" spans="2:25" x14ac:dyDescent="0.3">
      <c r="B95" s="1">
        <v>1.5</v>
      </c>
      <c r="C95" s="1">
        <v>5</v>
      </c>
      <c r="D95" s="1">
        <v>48.6</v>
      </c>
      <c r="E95" s="2">
        <f t="shared" si="18"/>
        <v>0.15883842433324624</v>
      </c>
      <c r="F95" s="1">
        <v>0</v>
      </c>
      <c r="G95" s="1">
        <v>5.6</v>
      </c>
      <c r="H95" s="3">
        <f t="shared" si="19"/>
        <v>1</v>
      </c>
      <c r="I95" s="1">
        <f t="shared" si="20"/>
        <v>14064.897981396609</v>
      </c>
      <c r="K95" s="1">
        <f t="shared" si="34"/>
        <v>-15.518867924528301</v>
      </c>
      <c r="L95" s="1">
        <f t="shared" si="21"/>
        <v>7.0169811320754647</v>
      </c>
      <c r="M95" s="2">
        <f t="shared" si="22"/>
        <v>5.2346271578487216E-2</v>
      </c>
      <c r="N95" s="1">
        <f t="shared" si="23"/>
        <v>-5.1698113207547172</v>
      </c>
      <c r="O95" s="1">
        <f t="shared" si="24"/>
        <v>-2.2084905660377352</v>
      </c>
      <c r="P95" s="1">
        <f t="shared" si="25"/>
        <v>0.37735849056603776</v>
      </c>
      <c r="Q95" s="1">
        <f t="shared" si="26"/>
        <v>1546.5078847166969</v>
      </c>
      <c r="S95" s="1">
        <f t="shared" si="27"/>
        <v>240.83526165895336</v>
      </c>
      <c r="T95" s="1">
        <f t="shared" si="28"/>
        <v>49.238024207903074</v>
      </c>
      <c r="U95" s="2">
        <f t="shared" si="29"/>
        <v>2.7401321481687387E-3</v>
      </c>
      <c r="V95" s="1">
        <f t="shared" si="30"/>
        <v>26.726949092203633</v>
      </c>
      <c r="W95" s="1">
        <f t="shared" si="31"/>
        <v>4.8774305802776761</v>
      </c>
      <c r="X95" s="1">
        <f t="shared" si="32"/>
        <v>0.1423994304022784</v>
      </c>
      <c r="Y95" s="1">
        <f t="shared" si="33"/>
        <v>2391686.6374909123</v>
      </c>
    </row>
    <row r="96" spans="2:25" x14ac:dyDescent="0.3">
      <c r="B96" s="1">
        <v>3.9</v>
      </c>
      <c r="C96" s="1">
        <v>41</v>
      </c>
      <c r="D96" s="1">
        <v>52.3</v>
      </c>
      <c r="E96" s="2">
        <f t="shared" si="18"/>
        <v>3.3198947083812207E-2</v>
      </c>
      <c r="F96" s="1">
        <v>6</v>
      </c>
      <c r="G96" s="1">
        <v>1.5</v>
      </c>
      <c r="H96" s="3">
        <f t="shared" si="19"/>
        <v>0</v>
      </c>
      <c r="I96" s="1">
        <f t="shared" si="20"/>
        <v>1767.078040224462</v>
      </c>
      <c r="K96" s="1">
        <f t="shared" si="34"/>
        <v>20.481132075471699</v>
      </c>
      <c r="L96" s="1">
        <f t="shared" si="21"/>
        <v>10.71698113207546</v>
      </c>
      <c r="M96" s="2">
        <f t="shared" si="22"/>
        <v>-7.3293205670946826E-2</v>
      </c>
      <c r="N96" s="1">
        <f t="shared" si="23"/>
        <v>0.83018867924528283</v>
      </c>
      <c r="O96" s="1">
        <f t="shared" si="24"/>
        <v>-6.3084905660377348</v>
      </c>
      <c r="P96" s="1">
        <f t="shared" si="25"/>
        <v>-0.62264150943396224</v>
      </c>
      <c r="Q96" s="1">
        <f t="shared" si="26"/>
        <v>-10751.31205645545</v>
      </c>
      <c r="S96" s="1">
        <f t="shared" si="27"/>
        <v>419.47677109291567</v>
      </c>
      <c r="T96" s="1">
        <f t="shared" si="28"/>
        <v>114.85368458526142</v>
      </c>
      <c r="U96" s="2">
        <f t="shared" si="29"/>
        <v>5.371893997523712E-3</v>
      </c>
      <c r="V96" s="1">
        <f t="shared" si="30"/>
        <v>0.68921324314702714</v>
      </c>
      <c r="W96" s="1">
        <f t="shared" si="31"/>
        <v>39.797053221787102</v>
      </c>
      <c r="X96" s="1">
        <f t="shared" si="32"/>
        <v>0.3876824492702029</v>
      </c>
      <c r="Y96" s="1">
        <f t="shared" si="33"/>
        <v>115590710.93528432</v>
      </c>
    </row>
    <row r="97" spans="1:25" x14ac:dyDescent="0.3">
      <c r="B97" s="1">
        <v>4.5</v>
      </c>
      <c r="C97" s="1">
        <v>38</v>
      </c>
      <c r="D97" s="1">
        <v>39</v>
      </c>
      <c r="E97" s="2">
        <f t="shared" si="18"/>
        <v>5.972314618906306E-4</v>
      </c>
      <c r="F97" s="1">
        <v>25</v>
      </c>
      <c r="G97" s="1">
        <v>3.6</v>
      </c>
      <c r="H97" s="3">
        <f t="shared" si="19"/>
        <v>0</v>
      </c>
      <c r="I97" s="1">
        <f t="shared" si="20"/>
        <v>2446.0886624744603</v>
      </c>
      <c r="K97" s="1">
        <f t="shared" si="34"/>
        <v>17.481132075471699</v>
      </c>
      <c r="L97" s="1">
        <f t="shared" si="21"/>
        <v>-2.5830188679245367</v>
      </c>
      <c r="M97" s="2">
        <f t="shared" si="22"/>
        <v>-0.1058949212928684</v>
      </c>
      <c r="N97" s="1">
        <f t="shared" si="23"/>
        <v>19.830188679245282</v>
      </c>
      <c r="O97" s="1">
        <f t="shared" si="24"/>
        <v>-4.2084905660377352</v>
      </c>
      <c r="P97" s="1">
        <f t="shared" si="25"/>
        <v>-0.62264150943396224</v>
      </c>
      <c r="Q97" s="1">
        <f t="shared" si="26"/>
        <v>-10072.301434205452</v>
      </c>
      <c r="S97" s="1">
        <f t="shared" si="27"/>
        <v>305.58997864008546</v>
      </c>
      <c r="T97" s="1">
        <f t="shared" si="28"/>
        <v>6.6719864720541553</v>
      </c>
      <c r="U97" s="2">
        <f t="shared" si="29"/>
        <v>1.1213734355622793E-2</v>
      </c>
      <c r="V97" s="1">
        <f t="shared" si="30"/>
        <v>393.23638305446775</v>
      </c>
      <c r="W97" s="1">
        <f t="shared" si="31"/>
        <v>17.711392844428616</v>
      </c>
      <c r="X97" s="1">
        <f t="shared" si="32"/>
        <v>0.3876824492702029</v>
      </c>
      <c r="Y97" s="1">
        <f t="shared" si="33"/>
        <v>101451256.1814972</v>
      </c>
    </row>
    <row r="98" spans="1:25" x14ac:dyDescent="0.3">
      <c r="B98" s="1">
        <v>1.5</v>
      </c>
      <c r="C98" s="1">
        <v>6</v>
      </c>
      <c r="D98" s="1">
        <v>45.4</v>
      </c>
      <c r="E98" s="2">
        <f t="shared" si="18"/>
        <v>2.9757234756312853E-2</v>
      </c>
      <c r="F98" s="1">
        <v>3</v>
      </c>
      <c r="G98" s="1">
        <v>9</v>
      </c>
      <c r="H98" s="3">
        <f t="shared" si="19"/>
        <v>1</v>
      </c>
      <c r="I98" s="1">
        <f t="shared" si="20"/>
        <v>8357.7668843408392</v>
      </c>
      <c r="K98" s="1">
        <f t="shared" si="34"/>
        <v>-14.518867924528301</v>
      </c>
      <c r="L98" s="1">
        <f t="shared" si="21"/>
        <v>3.8169811320754619</v>
      </c>
      <c r="M98" s="2">
        <f t="shared" si="22"/>
        <v>-7.6734917998446173E-2</v>
      </c>
      <c r="N98" s="1">
        <f t="shared" si="23"/>
        <v>-2.1698113207547172</v>
      </c>
      <c r="O98" s="1">
        <f t="shared" si="24"/>
        <v>1.1915094339622652</v>
      </c>
      <c r="P98" s="1">
        <f t="shared" si="25"/>
        <v>0.37735849056603776</v>
      </c>
      <c r="Q98" s="1">
        <f t="shared" si="26"/>
        <v>-4160.6232123390728</v>
      </c>
      <c r="S98" s="1">
        <f t="shared" si="27"/>
        <v>210.79752580989674</v>
      </c>
      <c r="T98" s="1">
        <f t="shared" si="28"/>
        <v>14.569344962620075</v>
      </c>
      <c r="U98" s="2">
        <f t="shared" si="29"/>
        <v>5.8882476402282585E-3</v>
      </c>
      <c r="V98" s="1">
        <f t="shared" si="30"/>
        <v>4.7080811676753305</v>
      </c>
      <c r="W98" s="1">
        <f t="shared" si="31"/>
        <v>1.4196947312210775</v>
      </c>
      <c r="X98" s="1">
        <f t="shared" si="32"/>
        <v>0.1423994304022784</v>
      </c>
      <c r="Y98" s="1">
        <f t="shared" si="33"/>
        <v>17310785.515054706</v>
      </c>
    </row>
    <row r="99" spans="1:25" x14ac:dyDescent="0.3">
      <c r="B99" s="1">
        <v>1.1000000000000001</v>
      </c>
      <c r="C99" s="1">
        <v>2</v>
      </c>
      <c r="D99" s="1">
        <v>41.3</v>
      </c>
      <c r="E99" s="2">
        <f t="shared" si="18"/>
        <v>0.16580227275602008</v>
      </c>
      <c r="F99" s="1">
        <v>0</v>
      </c>
      <c r="G99" s="1">
        <v>4.0999999999999996</v>
      </c>
      <c r="H99" s="3">
        <f t="shared" si="19"/>
        <v>1</v>
      </c>
      <c r="I99" s="1">
        <f t="shared" si="20"/>
        <v>25744.652192982907</v>
      </c>
      <c r="K99" s="1">
        <f t="shared" si="34"/>
        <v>-18.518867924528301</v>
      </c>
      <c r="L99" s="1">
        <f t="shared" si="21"/>
        <v>-0.28301886792453956</v>
      </c>
      <c r="M99" s="2">
        <f t="shared" si="22"/>
        <v>5.9310120001261055E-2</v>
      </c>
      <c r="N99" s="1">
        <f t="shared" si="23"/>
        <v>-5.1698113207547172</v>
      </c>
      <c r="O99" s="1">
        <f t="shared" si="24"/>
        <v>-3.7084905660377352</v>
      </c>
      <c r="P99" s="1">
        <f t="shared" si="25"/>
        <v>0.37735849056603776</v>
      </c>
      <c r="Q99" s="1">
        <f t="shared" si="26"/>
        <v>13226.262096302995</v>
      </c>
      <c r="S99" s="1">
        <f t="shared" si="27"/>
        <v>342.94846920612315</v>
      </c>
      <c r="T99" s="1">
        <f t="shared" si="28"/>
        <v>8.0099679601287971E-2</v>
      </c>
      <c r="U99" s="2">
        <f t="shared" si="29"/>
        <v>3.5176903345639867E-3</v>
      </c>
      <c r="V99" s="1">
        <f t="shared" si="30"/>
        <v>26.726949092203633</v>
      </c>
      <c r="W99" s="1">
        <f t="shared" si="31"/>
        <v>13.752902278390881</v>
      </c>
      <c r="X99" s="1">
        <f t="shared" si="32"/>
        <v>0.1423994304022784</v>
      </c>
      <c r="Y99" s="1">
        <f t="shared" si="33"/>
        <v>174934009.04010129</v>
      </c>
    </row>
    <row r="100" spans="1:25" x14ac:dyDescent="0.3">
      <c r="B100" s="1">
        <v>1.6</v>
      </c>
      <c r="C100" s="1">
        <v>6</v>
      </c>
      <c r="D100" s="1">
        <v>45.4</v>
      </c>
      <c r="E100" s="2">
        <f t="shared" si="18"/>
        <v>0.16118272956358676</v>
      </c>
      <c r="F100" s="1">
        <v>3</v>
      </c>
      <c r="G100" s="1">
        <v>6.7</v>
      </c>
      <c r="H100" s="3">
        <f t="shared" si="19"/>
        <v>1</v>
      </c>
      <c r="I100" s="1">
        <f t="shared" si="20"/>
        <v>15000.386472226568</v>
      </c>
      <c r="K100" s="1">
        <f t="shared" si="34"/>
        <v>-14.518867924528301</v>
      </c>
      <c r="L100" s="1">
        <f t="shared" si="21"/>
        <v>3.8169811320754619</v>
      </c>
      <c r="M100" s="2">
        <f t="shared" si="22"/>
        <v>5.4690576808827732E-2</v>
      </c>
      <c r="N100" s="1">
        <f t="shared" si="23"/>
        <v>-2.1698113207547172</v>
      </c>
      <c r="O100" s="1">
        <f t="shared" si="24"/>
        <v>-1.1084905660377347</v>
      </c>
      <c r="P100" s="1">
        <f t="shared" si="25"/>
        <v>0.37735849056603776</v>
      </c>
      <c r="Q100" s="1">
        <f t="shared" si="26"/>
        <v>2481.9963755466561</v>
      </c>
      <c r="S100" s="1">
        <f t="shared" si="27"/>
        <v>210.79752580989674</v>
      </c>
      <c r="T100" s="1">
        <f t="shared" si="28"/>
        <v>14.569344962620075</v>
      </c>
      <c r="U100" s="2">
        <f t="shared" si="29"/>
        <v>2.9910591916822858E-3</v>
      </c>
      <c r="V100" s="1">
        <f t="shared" si="30"/>
        <v>4.7080811676753305</v>
      </c>
      <c r="W100" s="1">
        <f t="shared" si="31"/>
        <v>1.2287513349946573</v>
      </c>
      <c r="X100" s="1">
        <f t="shared" si="32"/>
        <v>0.1423994304022784</v>
      </c>
      <c r="Y100" s="1">
        <f t="shared" si="33"/>
        <v>6160306.0082267374</v>
      </c>
    </row>
    <row r="101" spans="1:25" x14ac:dyDescent="0.3">
      <c r="B101" s="1">
        <v>1.6</v>
      </c>
      <c r="C101" s="1">
        <v>2</v>
      </c>
      <c r="D101" s="1">
        <v>46.1</v>
      </c>
      <c r="E101" s="2">
        <f t="shared" si="18"/>
        <v>0.18278563381880555</v>
      </c>
      <c r="F101" s="1">
        <v>0</v>
      </c>
      <c r="G101" s="1">
        <v>5</v>
      </c>
      <c r="H101" s="3">
        <f t="shared" si="19"/>
        <v>1</v>
      </c>
      <c r="I101" s="1">
        <f t="shared" si="20"/>
        <v>17739.057153219575</v>
      </c>
      <c r="K101" s="1">
        <f t="shared" si="34"/>
        <v>-18.518867924528301</v>
      </c>
      <c r="L101" s="1">
        <f t="shared" si="21"/>
        <v>4.5169811320754647</v>
      </c>
      <c r="M101" s="2">
        <f t="shared" si="22"/>
        <v>7.6293481064046528E-2</v>
      </c>
      <c r="N101" s="1">
        <f t="shared" si="23"/>
        <v>-5.1698113207547172</v>
      </c>
      <c r="O101" s="1">
        <f t="shared" si="24"/>
        <v>-2.8084905660377348</v>
      </c>
      <c r="P101" s="1">
        <f t="shared" si="25"/>
        <v>0.37735849056603776</v>
      </c>
      <c r="Q101" s="1">
        <f t="shared" si="26"/>
        <v>5220.6670565396635</v>
      </c>
      <c r="S101" s="1">
        <f t="shared" si="27"/>
        <v>342.94846920612315</v>
      </c>
      <c r="T101" s="1">
        <f t="shared" si="28"/>
        <v>20.403118547525747</v>
      </c>
      <c r="U101" s="2">
        <f t="shared" si="29"/>
        <v>5.820695252870026E-3</v>
      </c>
      <c r="V101" s="1">
        <f t="shared" si="30"/>
        <v>26.726949092203633</v>
      </c>
      <c r="W101" s="1">
        <f t="shared" si="31"/>
        <v>7.887619259522956</v>
      </c>
      <c r="X101" s="1">
        <f t="shared" si="32"/>
        <v>0.1423994304022784</v>
      </c>
      <c r="Y101" s="1">
        <f t="shared" si="33"/>
        <v>27255364.515238512</v>
      </c>
    </row>
    <row r="102" spans="1:25" x14ac:dyDescent="0.3">
      <c r="B102" s="1">
        <v>1.7</v>
      </c>
      <c r="C102" s="1">
        <v>3</v>
      </c>
      <c r="D102" s="1">
        <v>47</v>
      </c>
      <c r="E102" s="2">
        <f t="shared" si="18"/>
        <v>0.28318892513465088</v>
      </c>
      <c r="F102" s="1">
        <v>0</v>
      </c>
      <c r="G102" s="1">
        <v>8.3000000000000007</v>
      </c>
      <c r="H102" s="3">
        <f t="shared" si="19"/>
        <v>1</v>
      </c>
      <c r="I102" s="1">
        <f t="shared" si="20"/>
        <v>22987.164907545251</v>
      </c>
      <c r="K102" s="1">
        <f t="shared" si="34"/>
        <v>-17.518867924528301</v>
      </c>
      <c r="L102" s="1">
        <f t="shared" si="21"/>
        <v>5.4169811320754633</v>
      </c>
      <c r="M102" s="2">
        <f t="shared" si="22"/>
        <v>0.17669677237989184</v>
      </c>
      <c r="N102" s="1">
        <f t="shared" si="23"/>
        <v>-5.1698113207547172</v>
      </c>
      <c r="O102" s="1">
        <f t="shared" si="24"/>
        <v>0.49150943396226587</v>
      </c>
      <c r="P102" s="1">
        <f t="shared" si="25"/>
        <v>0.37735849056603776</v>
      </c>
      <c r="Q102" s="1">
        <f t="shared" si="26"/>
        <v>10468.77481086534</v>
      </c>
      <c r="S102" s="1">
        <f t="shared" si="27"/>
        <v>306.91073335706653</v>
      </c>
      <c r="T102" s="1">
        <f t="shared" si="28"/>
        <v>29.343684585261567</v>
      </c>
      <c r="U102" s="2">
        <f t="shared" si="29"/>
        <v>3.1221749369471308E-2</v>
      </c>
      <c r="V102" s="1">
        <f t="shared" si="30"/>
        <v>26.726949092203633</v>
      </c>
      <c r="W102" s="1">
        <f t="shared" si="31"/>
        <v>0.24158152367390701</v>
      </c>
      <c r="X102" s="1">
        <f t="shared" si="32"/>
        <v>0.1423994304022784</v>
      </c>
      <c r="Y102" s="1">
        <f t="shared" si="33"/>
        <v>109595246.04060863</v>
      </c>
    </row>
    <row r="103" spans="1:25" x14ac:dyDescent="0.3">
      <c r="B103" s="1">
        <v>1.5</v>
      </c>
      <c r="C103" s="1">
        <v>4</v>
      </c>
      <c r="D103" s="1">
        <v>46.7</v>
      </c>
      <c r="E103" s="2">
        <f t="shared" si="18"/>
        <v>0.2079813537783626</v>
      </c>
      <c r="F103" s="1">
        <v>0</v>
      </c>
      <c r="G103" s="1">
        <v>4.8</v>
      </c>
      <c r="H103" s="3">
        <f t="shared" si="19"/>
        <v>1</v>
      </c>
      <c r="I103" s="1">
        <f t="shared" si="20"/>
        <v>31447.670389301809</v>
      </c>
      <c r="K103" s="1">
        <f t="shared" si="34"/>
        <v>-16.518867924528301</v>
      </c>
      <c r="L103" s="1">
        <f t="shared" si="21"/>
        <v>5.1169811320754661</v>
      </c>
      <c r="M103" s="2">
        <f t="shared" si="22"/>
        <v>0.10148920102360358</v>
      </c>
      <c r="N103" s="1">
        <f t="shared" si="23"/>
        <v>-5.1698113207547172</v>
      </c>
      <c r="O103" s="1">
        <f t="shared" si="24"/>
        <v>-3.008490566037735</v>
      </c>
      <c r="P103" s="1">
        <f t="shared" si="25"/>
        <v>0.37735849056603776</v>
      </c>
      <c r="Q103" s="1">
        <f t="shared" si="26"/>
        <v>18929.280292621897</v>
      </c>
      <c r="S103" s="1">
        <f t="shared" si="27"/>
        <v>272.87299750800997</v>
      </c>
      <c r="T103" s="1">
        <f t="shared" si="28"/>
        <v>26.183495906016319</v>
      </c>
      <c r="U103" s="2">
        <f t="shared" si="29"/>
        <v>1.0300057924409418E-2</v>
      </c>
      <c r="V103" s="1">
        <f t="shared" si="30"/>
        <v>26.726949092203633</v>
      </c>
      <c r="W103" s="1">
        <f t="shared" si="31"/>
        <v>9.0510154859380521</v>
      </c>
      <c r="X103" s="1">
        <f t="shared" si="32"/>
        <v>0.1423994304022784</v>
      </c>
      <c r="Y103" s="1">
        <f t="shared" si="33"/>
        <v>358317652.39664376</v>
      </c>
    </row>
    <row r="104" spans="1:25" x14ac:dyDescent="0.3">
      <c r="B104" s="1">
        <v>4.8</v>
      </c>
      <c r="C104" s="1">
        <v>49</v>
      </c>
      <c r="D104" s="1">
        <v>49.2</v>
      </c>
      <c r="E104" s="2">
        <f t="shared" si="18"/>
        <v>1.6740823492491355E-2</v>
      </c>
      <c r="F104" s="1">
        <v>16</v>
      </c>
      <c r="G104" s="1">
        <v>2.5</v>
      </c>
      <c r="H104" s="3">
        <f t="shared" si="19"/>
        <v>0</v>
      </c>
      <c r="I104" s="1">
        <f t="shared" si="20"/>
        <v>1751.6231651345968</v>
      </c>
      <c r="K104" s="1">
        <f t="shared" si="34"/>
        <v>28.481132075471699</v>
      </c>
      <c r="L104" s="1">
        <f t="shared" si="21"/>
        <v>7.6169811320754661</v>
      </c>
      <c r="M104" s="2">
        <f t="shared" si="22"/>
        <v>-8.9751329262267671E-2</v>
      </c>
      <c r="N104" s="1">
        <f t="shared" si="23"/>
        <v>10.830188679245282</v>
      </c>
      <c r="O104" s="1">
        <f t="shared" si="24"/>
        <v>-5.3084905660377348</v>
      </c>
      <c r="P104" s="1">
        <f t="shared" si="25"/>
        <v>-0.62264150943396224</v>
      </c>
      <c r="Q104" s="1">
        <f t="shared" si="26"/>
        <v>-10766.766931545315</v>
      </c>
      <c r="S104" s="1">
        <f t="shared" si="27"/>
        <v>811.17488430046285</v>
      </c>
      <c r="T104" s="1">
        <f t="shared" si="28"/>
        <v>58.018401566393649</v>
      </c>
      <c r="U104" s="2">
        <f t="shared" si="29"/>
        <v>8.0553011043439857E-3</v>
      </c>
      <c r="V104" s="1">
        <f t="shared" si="30"/>
        <v>117.29298682805266</v>
      </c>
      <c r="W104" s="1">
        <f t="shared" si="31"/>
        <v>28.180072089711629</v>
      </c>
      <c r="X104" s="1">
        <f t="shared" si="32"/>
        <v>0.3876824492702029</v>
      </c>
      <c r="Y104" s="1">
        <f t="shared" si="33"/>
        <v>115923270.15821771</v>
      </c>
    </row>
    <row r="105" spans="1:25" x14ac:dyDescent="0.3">
      <c r="B105" s="1">
        <v>6.3</v>
      </c>
      <c r="C105" s="1">
        <v>110</v>
      </c>
      <c r="D105" s="1">
        <v>40.4</v>
      </c>
      <c r="E105" s="2">
        <f t="shared" si="18"/>
        <v>2.1307859361309699E-2</v>
      </c>
      <c r="F105" s="1">
        <v>26</v>
      </c>
      <c r="G105" s="1">
        <v>1.7</v>
      </c>
      <c r="H105" s="3">
        <f t="shared" si="19"/>
        <v>0</v>
      </c>
      <c r="I105" s="1">
        <f t="shared" si="20"/>
        <v>1391.9407831454103</v>
      </c>
      <c r="K105" s="1">
        <f t="shared" si="34"/>
        <v>89.481132075471692</v>
      </c>
      <c r="L105" s="1">
        <f t="shared" si="21"/>
        <v>-1.1830188679245381</v>
      </c>
      <c r="M105" s="2">
        <f t="shared" si="22"/>
        <v>-8.5184293393449323E-2</v>
      </c>
      <c r="N105" s="1">
        <f t="shared" si="23"/>
        <v>20.830188679245282</v>
      </c>
      <c r="O105" s="1">
        <f t="shared" si="24"/>
        <v>-6.1084905660377347</v>
      </c>
      <c r="P105" s="1">
        <f t="shared" si="25"/>
        <v>-0.62264150943396224</v>
      </c>
      <c r="Q105" s="1">
        <f t="shared" si="26"/>
        <v>-11126.449313534502</v>
      </c>
      <c r="S105" s="1">
        <f t="shared" si="27"/>
        <v>8006.8729975080087</v>
      </c>
      <c r="T105" s="1">
        <f t="shared" si="28"/>
        <v>1.3995336418654558</v>
      </c>
      <c r="U105" s="2">
        <f t="shared" si="29"/>
        <v>7.2563638409412542E-3</v>
      </c>
      <c r="V105" s="1">
        <f t="shared" si="30"/>
        <v>433.89676041295832</v>
      </c>
      <c r="W105" s="1">
        <f t="shared" si="31"/>
        <v>37.313656995372007</v>
      </c>
      <c r="X105" s="1">
        <f t="shared" si="32"/>
        <v>0.3876824492702029</v>
      </c>
      <c r="Y105" s="1">
        <f t="shared" si="33"/>
        <v>123797874.32665239</v>
      </c>
    </row>
    <row r="106" spans="1:25" x14ac:dyDescent="0.3">
      <c r="B106" s="1">
        <v>1.3</v>
      </c>
      <c r="C106" s="1">
        <v>9</v>
      </c>
      <c r="D106" s="1">
        <v>45.8</v>
      </c>
      <c r="E106" s="2">
        <f t="shared" si="18"/>
        <v>2.8653304160067214E-3</v>
      </c>
      <c r="F106" s="1">
        <v>3</v>
      </c>
      <c r="G106" s="1">
        <v>1.1000000000000001</v>
      </c>
      <c r="H106" s="3">
        <f t="shared" si="19"/>
        <v>1</v>
      </c>
      <c r="I106" s="1">
        <f>D303*1000000/B303</f>
        <v>9365.0065333831481</v>
      </c>
      <c r="K106" s="1">
        <f t="shared" si="34"/>
        <v>-11.518867924528301</v>
      </c>
      <c r="L106" s="1">
        <f t="shared" si="21"/>
        <v>4.2169811320754604</v>
      </c>
      <c r="M106" s="2">
        <f t="shared" si="22"/>
        <v>-0.10362682233875231</v>
      </c>
      <c r="N106" s="1">
        <f t="shared" si="23"/>
        <v>-2.1698113207547172</v>
      </c>
      <c r="O106" s="1">
        <f t="shared" si="24"/>
        <v>-6.7084905660377352</v>
      </c>
      <c r="P106" s="1">
        <f t="shared" si="25"/>
        <v>0.37735849056603776</v>
      </c>
      <c r="Q106" s="1">
        <f t="shared" si="26"/>
        <v>-3153.3835632967639</v>
      </c>
      <c r="S106" s="1">
        <f t="shared" si="27"/>
        <v>132.68431826272695</v>
      </c>
      <c r="T106" s="1">
        <f t="shared" si="28"/>
        <v>17.782929868280434</v>
      </c>
      <c r="U106" s="2">
        <f t="shared" si="29"/>
        <v>1.0738518308027335E-2</v>
      </c>
      <c r="V106" s="1">
        <f t="shared" si="30"/>
        <v>4.7080811676753305</v>
      </c>
      <c r="W106" s="1">
        <f t="shared" si="31"/>
        <v>45.003845674617295</v>
      </c>
      <c r="X106" s="1">
        <f t="shared" si="32"/>
        <v>0.1423994304022784</v>
      </c>
      <c r="Y106" s="1">
        <f t="shared" si="33"/>
        <v>9943827.8972701952</v>
      </c>
    </row>
    <row r="107" spans="1:25" x14ac:dyDescent="0.3">
      <c r="B107" s="1">
        <v>4.3</v>
      </c>
      <c r="C107" s="1">
        <v>64</v>
      </c>
      <c r="D107" s="1">
        <v>48.3</v>
      </c>
      <c r="E107" s="2">
        <f t="shared" si="18"/>
        <v>5.4356202719162999E-2</v>
      </c>
      <c r="F107" s="1">
        <v>1</v>
      </c>
      <c r="G107" s="1">
        <v>3.9</v>
      </c>
      <c r="H107" s="3">
        <f t="shared" si="19"/>
        <v>1</v>
      </c>
      <c r="I107" s="1">
        <f t="shared" si="20"/>
        <v>1569.7358675080845</v>
      </c>
      <c r="K107" s="1">
        <f t="shared" si="34"/>
        <v>43.481132075471699</v>
      </c>
      <c r="L107" s="1">
        <f t="shared" si="21"/>
        <v>6.7169811320754604</v>
      </c>
      <c r="M107" s="2">
        <f t="shared" si="22"/>
        <v>-5.2135950035596026E-2</v>
      </c>
      <c r="N107" s="1">
        <f t="shared" si="23"/>
        <v>-4.1698113207547172</v>
      </c>
      <c r="O107" s="1">
        <f t="shared" si="24"/>
        <v>-3.9084905660377349</v>
      </c>
      <c r="P107" s="1">
        <f t="shared" si="25"/>
        <v>0.37735849056603776</v>
      </c>
      <c r="Q107" s="1">
        <f t="shared" si="26"/>
        <v>-10948.654229171827</v>
      </c>
      <c r="S107" s="1">
        <f t="shared" si="27"/>
        <v>1890.6088465646137</v>
      </c>
      <c r="T107" s="1">
        <f t="shared" si="28"/>
        <v>45.117835528657736</v>
      </c>
      <c r="U107" s="2">
        <f t="shared" si="29"/>
        <v>2.7181572861141655E-3</v>
      </c>
      <c r="V107" s="1">
        <f t="shared" si="30"/>
        <v>17.3873264506942</v>
      </c>
      <c r="W107" s="1">
        <f t="shared" si="31"/>
        <v>15.276298504805974</v>
      </c>
      <c r="X107" s="1">
        <f t="shared" si="32"/>
        <v>0.1423994304022784</v>
      </c>
      <c r="Y107" s="1">
        <f t="shared" si="33"/>
        <v>119873029.42996213</v>
      </c>
    </row>
    <row r="108" spans="1:25" x14ac:dyDescent="0.3">
      <c r="B108" s="17">
        <v>3.3</v>
      </c>
      <c r="C108" s="17">
        <v>11</v>
      </c>
      <c r="D108" s="17">
        <v>41.9</v>
      </c>
      <c r="E108" s="18">
        <f t="shared" si="18"/>
        <v>9.4611854865414638E-2</v>
      </c>
      <c r="F108" s="17">
        <v>1</v>
      </c>
      <c r="G108" s="17">
        <v>3.6</v>
      </c>
      <c r="H108" s="19">
        <f t="shared" si="19"/>
        <v>1</v>
      </c>
      <c r="I108" s="17">
        <f>D305*1000000/B305</f>
        <v>5689.6731160414402</v>
      </c>
      <c r="K108" s="1">
        <f>C108-$C$109</f>
        <v>-9.5188679245283012</v>
      </c>
      <c r="L108" s="1">
        <f t="shared" si="21"/>
        <v>0.31698113207546186</v>
      </c>
      <c r="M108" s="2">
        <f t="shared" si="22"/>
        <v>-1.1880297889344388E-2</v>
      </c>
      <c r="N108" s="1">
        <f t="shared" si="23"/>
        <v>-4.1698113207547172</v>
      </c>
      <c r="O108" s="1">
        <f t="shared" si="24"/>
        <v>-4.2084905660377352</v>
      </c>
      <c r="P108" s="1">
        <f t="shared" si="25"/>
        <v>0.37735849056603776</v>
      </c>
      <c r="Q108" s="1">
        <f t="shared" si="26"/>
        <v>-6828.7169806384718</v>
      </c>
      <c r="S108" s="17">
        <f t="shared" si="27"/>
        <v>90.608846564613728</v>
      </c>
      <c r="T108" s="17">
        <f t="shared" si="28"/>
        <v>0.1004770380918414</v>
      </c>
      <c r="U108" s="18">
        <f t="shared" si="29"/>
        <v>1.4114147793956071E-4</v>
      </c>
      <c r="V108" s="17">
        <f t="shared" si="30"/>
        <v>17.3873264506942</v>
      </c>
      <c r="W108" s="17">
        <f t="shared" si="31"/>
        <v>17.711392844428616</v>
      </c>
      <c r="X108" s="17">
        <f t="shared" si="32"/>
        <v>0.1423994304022784</v>
      </c>
      <c r="Y108" s="17">
        <f t="shared" si="33"/>
        <v>46631375.601660207</v>
      </c>
    </row>
    <row r="109" spans="1:25" x14ac:dyDescent="0.3">
      <c r="A109" s="20" t="s">
        <v>143</v>
      </c>
      <c r="B109" s="20"/>
      <c r="C109" s="20">
        <f>AVERAGE(C3:C108)</f>
        <v>20.518867924528301</v>
      </c>
      <c r="D109" s="20">
        <f t="shared" ref="D109:I109" si="35">AVERAGE(D3:D108)</f>
        <v>41.583018867924537</v>
      </c>
      <c r="E109" s="20">
        <f t="shared" si="35"/>
        <v>0.10649215275475903</v>
      </c>
      <c r="F109" s="20">
        <f t="shared" si="35"/>
        <v>5.1698113207547172</v>
      </c>
      <c r="G109" s="20">
        <f t="shared" si="35"/>
        <v>7.8084905660377348</v>
      </c>
      <c r="H109" s="20">
        <f t="shared" si="35"/>
        <v>0.62264150943396224</v>
      </c>
      <c r="I109" s="20">
        <f t="shared" si="35"/>
        <v>12518.390096679912</v>
      </c>
      <c r="K109" s="27">
        <f>SUM(K3:K108)</f>
        <v>0</v>
      </c>
      <c r="L109" s="27"/>
      <c r="M109" s="27"/>
      <c r="N109" s="27"/>
      <c r="O109" s="27"/>
      <c r="P109" s="27"/>
      <c r="Q109" s="27"/>
      <c r="R109" s="1" t="s">
        <v>144</v>
      </c>
      <c r="S109" s="1">
        <f>SUM(S3:S108)</f>
        <v>62192.462264150956</v>
      </c>
      <c r="T109" s="1">
        <f t="shared" ref="T109:Y109" si="36">SUM(T3:T108)</f>
        <v>8848.789433962258</v>
      </c>
      <c r="U109" s="1">
        <f t="shared" si="36"/>
        <v>2.227930367656433</v>
      </c>
      <c r="V109" s="1">
        <f t="shared" si="36"/>
        <v>6524.943396226412</v>
      </c>
      <c r="W109" s="1">
        <f t="shared" si="36"/>
        <v>3714.5023584905671</v>
      </c>
      <c r="X109" s="1">
        <f t="shared" si="36"/>
        <v>24.90566037735848</v>
      </c>
      <c r="Y109" s="1">
        <f t="shared" si="36"/>
        <v>7969031816.8862734</v>
      </c>
    </row>
    <row r="110" spans="1:25" x14ac:dyDescent="0.3">
      <c r="A110" s="16" t="s">
        <v>145</v>
      </c>
      <c r="B110" s="16"/>
      <c r="C110" s="16">
        <v>10</v>
      </c>
      <c r="D110" s="9">
        <v>31.6</v>
      </c>
      <c r="E110" s="21">
        <f>C306/B306</f>
        <v>1.1382625325935845E-2</v>
      </c>
      <c r="F110" s="9">
        <v>5</v>
      </c>
      <c r="G110" s="9">
        <v>13.1</v>
      </c>
      <c r="H110" s="16">
        <v>0</v>
      </c>
      <c r="I110" s="16">
        <f>D306*1000000/B306</f>
        <v>13064.693613459111</v>
      </c>
    </row>
    <row r="111" spans="1:25" x14ac:dyDescent="0.3">
      <c r="A111" s="1" t="s">
        <v>146</v>
      </c>
      <c r="B111" s="1"/>
      <c r="C111" s="1">
        <f>(C110-C109)^2/S109</f>
        <v>1.7790995626402357E-3</v>
      </c>
      <c r="D111" s="1">
        <f t="shared" ref="D111:I111" si="37">(D110-D109)^2/T109</f>
        <v>1.1262632754581415E-2</v>
      </c>
      <c r="E111" s="1">
        <f t="shared" si="37"/>
        <v>4.0601907218713474E-3</v>
      </c>
      <c r="F111" s="1">
        <f t="shared" si="37"/>
        <v>4.4193310049460617E-6</v>
      </c>
      <c r="G111" s="1">
        <f t="shared" si="37"/>
        <v>7.5380412737413947E-3</v>
      </c>
      <c r="H111" s="1">
        <f t="shared" si="37"/>
        <v>1.5566037735849062E-2</v>
      </c>
      <c r="I111" s="1">
        <f t="shared" si="37"/>
        <v>3.7450914904482343E-5</v>
      </c>
    </row>
    <row r="112" spans="1:25" x14ac:dyDescent="0.3">
      <c r="A112" s="1" t="s">
        <v>147</v>
      </c>
      <c r="B112" s="28">
        <f>SUM(C111:I111)</f>
        <v>4.0247872294592882E-2</v>
      </c>
    </row>
    <row r="199" spans="2:4" x14ac:dyDescent="0.3">
      <c r="B199" s="7" t="s">
        <v>11</v>
      </c>
      <c r="C199" s="4" t="s">
        <v>12</v>
      </c>
      <c r="D199" s="4" t="s">
        <v>13</v>
      </c>
    </row>
    <row r="200" spans="2:4" x14ac:dyDescent="0.3">
      <c r="B200" s="13">
        <v>59308690</v>
      </c>
      <c r="C200" s="1">
        <v>8220000</v>
      </c>
      <c r="D200" s="1">
        <v>498708.43</v>
      </c>
    </row>
    <row r="201" spans="2:4" x14ac:dyDescent="0.3">
      <c r="B201" s="13">
        <v>2877797</v>
      </c>
      <c r="C201" s="1">
        <v>30000</v>
      </c>
      <c r="D201" s="1">
        <v>24712.06</v>
      </c>
    </row>
    <row r="202" spans="2:4" x14ac:dyDescent="0.3">
      <c r="B202" s="13">
        <v>43851044</v>
      </c>
      <c r="C202" s="1">
        <v>740000</v>
      </c>
      <c r="D202" s="1">
        <v>224075.65</v>
      </c>
    </row>
    <row r="203" spans="2:4" x14ac:dyDescent="0.3">
      <c r="B203" s="13">
        <v>83783942</v>
      </c>
      <c r="C203" s="1">
        <v>21150000</v>
      </c>
      <c r="D203" s="1">
        <v>2192838.77</v>
      </c>
    </row>
    <row r="204" spans="2:4" x14ac:dyDescent="0.3">
      <c r="B204" s="13">
        <v>34813871</v>
      </c>
      <c r="C204" s="1">
        <v>210000</v>
      </c>
      <c r="D204" s="1">
        <v>673092.53</v>
      </c>
    </row>
    <row r="205" spans="2:4" x14ac:dyDescent="0.3">
      <c r="B205" s="13">
        <v>2963243</v>
      </c>
      <c r="C205" s="1">
        <v>40000</v>
      </c>
      <c r="D205" s="1">
        <v>27817.95</v>
      </c>
    </row>
    <row r="206" spans="2:4" x14ac:dyDescent="0.3">
      <c r="B206" s="13">
        <v>25499884</v>
      </c>
      <c r="C206" s="1">
        <v>6990000</v>
      </c>
      <c r="D206" s="1">
        <v>659411.06000000006</v>
      </c>
    </row>
    <row r="207" spans="2:4" x14ac:dyDescent="0.3">
      <c r="B207" s="13">
        <v>9006398</v>
      </c>
      <c r="C207" s="1">
        <v>1250000</v>
      </c>
      <c r="D207" s="1">
        <v>232613.41</v>
      </c>
    </row>
    <row r="208" spans="2:4" x14ac:dyDescent="0.3">
      <c r="B208" s="13">
        <v>10139177</v>
      </c>
      <c r="C208" s="1">
        <v>10000</v>
      </c>
      <c r="D208" s="1">
        <v>88852.75</v>
      </c>
    </row>
    <row r="209" spans="2:4" x14ac:dyDescent="0.3">
      <c r="B209" s="13">
        <v>1701575</v>
      </c>
      <c r="C209" s="1">
        <v>30000</v>
      </c>
      <c r="D209" s="1">
        <v>28166.51</v>
      </c>
    </row>
    <row r="210" spans="2:4" x14ac:dyDescent="0.3">
      <c r="B210" s="13">
        <v>11589623</v>
      </c>
      <c r="C210" s="1">
        <v>3370000</v>
      </c>
      <c r="D210" s="1">
        <v>273427.21999999997</v>
      </c>
    </row>
    <row r="211" spans="2:4" x14ac:dyDescent="0.3">
      <c r="B211" s="13">
        <v>397628</v>
      </c>
      <c r="C211" s="1">
        <v>30000</v>
      </c>
      <c r="D211" s="1">
        <v>1720.71</v>
      </c>
    </row>
    <row r="212" spans="2:4" x14ac:dyDescent="0.3">
      <c r="B212" s="13">
        <v>12123200</v>
      </c>
      <c r="C212" s="1">
        <v>600000</v>
      </c>
      <c r="D212" s="1">
        <v>28647.97</v>
      </c>
    </row>
    <row r="213" spans="2:4" x14ac:dyDescent="0.3">
      <c r="B213" s="13">
        <v>771608</v>
      </c>
      <c r="C213" s="1">
        <v>10000</v>
      </c>
      <c r="D213" s="1">
        <v>4997.2700000000004</v>
      </c>
    </row>
    <row r="214" spans="2:4" x14ac:dyDescent="0.3">
      <c r="B214" s="13">
        <v>11673021</v>
      </c>
      <c r="C214" s="1">
        <v>480000</v>
      </c>
      <c r="D214" s="1">
        <v>67582.45</v>
      </c>
    </row>
    <row r="215" spans="2:4" x14ac:dyDescent="0.3">
      <c r="B215" s="13">
        <v>217374417</v>
      </c>
      <c r="C215" s="1">
        <v>17620000</v>
      </c>
      <c r="D215" s="1">
        <v>1919672.75</v>
      </c>
    </row>
    <row r="216" spans="2:4" x14ac:dyDescent="0.3">
      <c r="B216" s="13">
        <v>437479</v>
      </c>
      <c r="C216" s="1">
        <v>10000</v>
      </c>
      <c r="D216" s="1">
        <v>5814.96</v>
      </c>
    </row>
    <row r="217" spans="2:4" x14ac:dyDescent="0.3">
      <c r="B217" s="13">
        <v>6948445</v>
      </c>
      <c r="C217" s="1">
        <v>320000</v>
      </c>
      <c r="D217" s="1">
        <v>89867.73</v>
      </c>
    </row>
    <row r="218" spans="2:4" x14ac:dyDescent="0.3">
      <c r="B218" s="13">
        <v>11890784</v>
      </c>
      <c r="C218" s="1">
        <v>10000</v>
      </c>
      <c r="D218" s="1">
        <v>6894.07</v>
      </c>
    </row>
    <row r="219" spans="2:4" x14ac:dyDescent="0.3">
      <c r="B219" s="13">
        <v>555987</v>
      </c>
      <c r="C219" s="1">
        <v>50000</v>
      </c>
      <c r="D219" s="1">
        <v>2256.2600000000002</v>
      </c>
    </row>
    <row r="220" spans="2:4" x14ac:dyDescent="0.3">
      <c r="B220" s="13">
        <v>16718965</v>
      </c>
      <c r="C220" s="1">
        <v>30000</v>
      </c>
      <c r="D220" s="1">
        <v>48545.57</v>
      </c>
    </row>
    <row r="221" spans="2:4" x14ac:dyDescent="0.3">
      <c r="B221" s="13">
        <v>26545863</v>
      </c>
      <c r="C221" s="1">
        <v>1260000</v>
      </c>
      <c r="D221" s="1">
        <v>72298.83</v>
      </c>
    </row>
    <row r="222" spans="2:4" x14ac:dyDescent="0.3">
      <c r="B222" s="13">
        <v>37742154</v>
      </c>
      <c r="C222" s="1">
        <v>8950000</v>
      </c>
      <c r="D222" s="1">
        <v>953716.03</v>
      </c>
    </row>
    <row r="223" spans="2:4" x14ac:dyDescent="0.3">
      <c r="B223" s="13">
        <v>19116201</v>
      </c>
      <c r="C223" s="1">
        <v>1800000</v>
      </c>
      <c r="D223" s="1">
        <v>246713.85</v>
      </c>
    </row>
    <row r="224" spans="2:4" x14ac:dyDescent="0.3">
      <c r="B224" s="13">
        <v>1207359</v>
      </c>
      <c r="C224" s="1">
        <v>20000</v>
      </c>
      <c r="D224" s="1">
        <v>20448.740000000002</v>
      </c>
    </row>
    <row r="225" spans="2:4" x14ac:dyDescent="0.3">
      <c r="B225" s="13">
        <v>50882891</v>
      </c>
      <c r="C225" s="1">
        <v>3510000</v>
      </c>
      <c r="D225" s="1">
        <v>460287.85</v>
      </c>
    </row>
    <row r="226" spans="2:4" x14ac:dyDescent="0.3">
      <c r="B226" s="13">
        <v>51269185</v>
      </c>
      <c r="C226" s="1">
        <v>23250000</v>
      </c>
      <c r="D226" s="1">
        <v>929636.21</v>
      </c>
    </row>
    <row r="227" spans="2:4" x14ac:dyDescent="0.3">
      <c r="B227" s="13">
        <v>5094118</v>
      </c>
      <c r="C227" s="1">
        <v>420000</v>
      </c>
      <c r="D227" s="1">
        <v>64520.160000000003</v>
      </c>
    </row>
    <row r="228" spans="2:4" x14ac:dyDescent="0.3">
      <c r="B228" s="13">
        <v>26378274</v>
      </c>
      <c r="C228" s="1">
        <v>1970000</v>
      </c>
      <c r="D228" s="1">
        <v>94986.65</v>
      </c>
    </row>
    <row r="229" spans="2:4" x14ac:dyDescent="0.3">
      <c r="B229" s="13">
        <v>4105267</v>
      </c>
      <c r="C229" s="1">
        <v>220000</v>
      </c>
      <c r="D229" s="1">
        <v>57714.76</v>
      </c>
    </row>
    <row r="230" spans="2:4" x14ac:dyDescent="0.3">
      <c r="B230" s="13">
        <v>5792202</v>
      </c>
      <c r="C230" s="1">
        <v>680000</v>
      </c>
      <c r="D230" s="1">
        <v>140684.67000000001</v>
      </c>
    </row>
    <row r="231" spans="2:4" x14ac:dyDescent="0.3">
      <c r="B231" s="13">
        <v>988000</v>
      </c>
      <c r="C231" s="1">
        <v>10000</v>
      </c>
      <c r="D231" s="1">
        <v>2981.66</v>
      </c>
    </row>
    <row r="232" spans="2:4" x14ac:dyDescent="0.3">
      <c r="B232" s="14">
        <v>102334404</v>
      </c>
      <c r="C232" s="1">
        <v>10000</v>
      </c>
      <c r="D232" s="1">
        <v>1187005.81</v>
      </c>
    </row>
    <row r="233" spans="2:4" x14ac:dyDescent="0.3">
      <c r="B233" s="13">
        <v>9890402</v>
      </c>
      <c r="C233" s="1">
        <v>100000</v>
      </c>
      <c r="D233" s="1">
        <v>194012.04</v>
      </c>
    </row>
    <row r="234" spans="2:4" x14ac:dyDescent="0.3">
      <c r="B234" s="13">
        <v>17643054</v>
      </c>
      <c r="C234" s="1">
        <v>920000</v>
      </c>
      <c r="D234" s="1">
        <v>108456.91</v>
      </c>
    </row>
    <row r="235" spans="2:4" x14ac:dyDescent="0.3">
      <c r="B235" s="13">
        <v>46754778</v>
      </c>
      <c r="C235" s="1">
        <v>10190000</v>
      </c>
      <c r="D235" s="1">
        <v>883873.68</v>
      </c>
    </row>
    <row r="236" spans="2:4" x14ac:dyDescent="0.3">
      <c r="B236" s="13">
        <v>1326535</v>
      </c>
      <c r="C236" s="1">
        <v>770000</v>
      </c>
      <c r="D236" s="1">
        <v>25515.84</v>
      </c>
    </row>
    <row r="237" spans="2:4" x14ac:dyDescent="0.3">
      <c r="B237" s="14">
        <v>331002651</v>
      </c>
      <c r="C237" s="1">
        <v>62310000</v>
      </c>
      <c r="D237" s="1">
        <v>14047565</v>
      </c>
    </row>
    <row r="238" spans="2:4" x14ac:dyDescent="0.3">
      <c r="B238" s="13">
        <v>114963588</v>
      </c>
      <c r="C238" s="1">
        <v>60000</v>
      </c>
      <c r="D238" s="1">
        <v>185137.67</v>
      </c>
    </row>
    <row r="239" spans="2:4" x14ac:dyDescent="0.3">
      <c r="B239" s="13">
        <v>896445</v>
      </c>
      <c r="C239" s="1">
        <v>10000</v>
      </c>
      <c r="D239" s="1">
        <v>6420.18</v>
      </c>
    </row>
    <row r="240" spans="2:4" x14ac:dyDescent="0.3">
      <c r="B240" s="13">
        <v>5540720</v>
      </c>
      <c r="C240" s="1">
        <v>1140000</v>
      </c>
      <c r="D240" s="1">
        <v>131524.99</v>
      </c>
    </row>
    <row r="241" spans="2:4" x14ac:dyDescent="0.3">
      <c r="B241" s="13">
        <v>66043511</v>
      </c>
      <c r="C241" s="1">
        <v>20830000</v>
      </c>
      <c r="D241" s="1">
        <v>1484987.56</v>
      </c>
    </row>
    <row r="242" spans="2:4" x14ac:dyDescent="0.3">
      <c r="B242" s="13">
        <v>2225734</v>
      </c>
      <c r="C242" s="1">
        <v>11000</v>
      </c>
      <c r="D242" s="1">
        <v>11273.18</v>
      </c>
    </row>
    <row r="243" spans="2:4" x14ac:dyDescent="0.3">
      <c r="B243" s="13">
        <v>2416668</v>
      </c>
      <c r="C243" s="1">
        <v>10000</v>
      </c>
      <c r="D243" s="1">
        <v>4758.03</v>
      </c>
    </row>
    <row r="244" spans="2:4" x14ac:dyDescent="0.3">
      <c r="B244" s="13">
        <v>3989167</v>
      </c>
      <c r="C244" s="1">
        <v>30000</v>
      </c>
      <c r="D244" s="1">
        <v>40119.050000000003</v>
      </c>
    </row>
    <row r="245" spans="2:4" x14ac:dyDescent="0.3">
      <c r="B245" s="13">
        <v>31072940</v>
      </c>
      <c r="C245" s="1">
        <v>1160000</v>
      </c>
      <c r="D245" s="1">
        <v>130653.3</v>
      </c>
    </row>
    <row r="246" spans="2:4" x14ac:dyDescent="0.3">
      <c r="B246" s="13">
        <v>10423054</v>
      </c>
      <c r="C246" s="1">
        <v>690000</v>
      </c>
      <c r="D246" s="1">
        <v>179578.53</v>
      </c>
    </row>
    <row r="247" spans="2:4" x14ac:dyDescent="0.3">
      <c r="B247" s="13">
        <v>17915568</v>
      </c>
      <c r="C247" s="1">
        <v>720000</v>
      </c>
      <c r="D247" s="1">
        <v>108332.83</v>
      </c>
    </row>
    <row r="248" spans="2:4" x14ac:dyDescent="0.3">
      <c r="B248" s="13">
        <v>13132795</v>
      </c>
      <c r="C248" s="1">
        <v>230000</v>
      </c>
      <c r="D248" s="1">
        <v>23970.639999999999</v>
      </c>
    </row>
    <row r="249" spans="2:4" x14ac:dyDescent="0.3">
      <c r="B249" s="13">
        <v>9660351</v>
      </c>
      <c r="C249" s="1">
        <v>1970000</v>
      </c>
      <c r="D249" s="1">
        <v>141116.16</v>
      </c>
    </row>
    <row r="250" spans="2:4" x14ac:dyDescent="0.3">
      <c r="B250" s="13">
        <v>1423335385</v>
      </c>
      <c r="C250" s="1">
        <v>900000</v>
      </c>
      <c r="D250" s="1">
        <v>5676661.6900000004</v>
      </c>
    </row>
    <row r="251" spans="2:4" x14ac:dyDescent="0.3">
      <c r="B251" s="13">
        <v>83992949</v>
      </c>
      <c r="C251" s="1">
        <v>100000</v>
      </c>
      <c r="D251" s="1">
        <v>662755.5</v>
      </c>
    </row>
    <row r="252" spans="2:4" x14ac:dyDescent="0.3">
      <c r="B252" s="13">
        <v>4937786</v>
      </c>
      <c r="C252" s="1">
        <v>400000</v>
      </c>
      <c r="D252" s="1">
        <v>91607.39</v>
      </c>
    </row>
    <row r="253" spans="2:4" x14ac:dyDescent="0.3">
      <c r="B253" s="13">
        <v>341243</v>
      </c>
      <c r="C253" s="1">
        <v>10000</v>
      </c>
      <c r="D253" s="1">
        <v>9370.77</v>
      </c>
    </row>
    <row r="254" spans="2:4" x14ac:dyDescent="0.3">
      <c r="B254" s="13">
        <v>8655535</v>
      </c>
      <c r="C254" s="1">
        <v>280000</v>
      </c>
      <c r="D254" s="1">
        <v>162009.74</v>
      </c>
    </row>
    <row r="255" spans="2:4" x14ac:dyDescent="0.3">
      <c r="B255" s="13">
        <v>60628826</v>
      </c>
      <c r="C255" s="1">
        <v>8100000</v>
      </c>
      <c r="D255" s="1">
        <v>1299005.43</v>
      </c>
    </row>
    <row r="256" spans="2:4" x14ac:dyDescent="0.3">
      <c r="B256" s="13">
        <v>2961167</v>
      </c>
      <c r="C256" s="1">
        <v>500000</v>
      </c>
      <c r="D256" s="1">
        <v>19315.71</v>
      </c>
    </row>
    <row r="257" spans="2:4" x14ac:dyDescent="0.3">
      <c r="B257" s="14">
        <v>126239461</v>
      </c>
      <c r="C257" s="1">
        <v>74780000</v>
      </c>
      <c r="D257" s="1">
        <v>2543321.35</v>
      </c>
    </row>
    <row r="258" spans="2:4" x14ac:dyDescent="0.3">
      <c r="B258" s="13">
        <v>10203134</v>
      </c>
      <c r="C258" s="1">
        <v>10000</v>
      </c>
      <c r="D258" s="1">
        <v>80172.7</v>
      </c>
    </row>
    <row r="259" spans="2:4" x14ac:dyDescent="0.3">
      <c r="B259" s="13">
        <v>18776707</v>
      </c>
      <c r="C259" s="1">
        <v>720000</v>
      </c>
      <c r="D259" s="1">
        <v>264998.49</v>
      </c>
    </row>
    <row r="260" spans="2:4" x14ac:dyDescent="0.3">
      <c r="B260" s="13">
        <v>2142249</v>
      </c>
      <c r="C260" s="1">
        <v>70000</v>
      </c>
      <c r="D260" s="1">
        <v>5403.04</v>
      </c>
    </row>
    <row r="261" spans="2:4" x14ac:dyDescent="0.3">
      <c r="B261" s="13">
        <v>1886198</v>
      </c>
      <c r="C261" s="1">
        <v>960000</v>
      </c>
      <c r="D261" s="1">
        <v>28968.98</v>
      </c>
    </row>
    <row r="262" spans="2:4" x14ac:dyDescent="0.3">
      <c r="B262" s="13">
        <v>2722289</v>
      </c>
      <c r="C262" s="1">
        <v>310000</v>
      </c>
      <c r="D262" s="1">
        <v>56709.68</v>
      </c>
    </row>
    <row r="263" spans="2:4" x14ac:dyDescent="0.3">
      <c r="B263" s="13">
        <v>625978</v>
      </c>
      <c r="C263" s="1">
        <v>140000</v>
      </c>
      <c r="D263" s="1">
        <v>20455.95</v>
      </c>
    </row>
    <row r="264" spans="2:4" x14ac:dyDescent="0.3">
      <c r="B264" s="13">
        <v>2083374</v>
      </c>
      <c r="C264" s="1">
        <v>30000</v>
      </c>
      <c r="D264" s="1">
        <v>19230.849999999999</v>
      </c>
    </row>
    <row r="265" spans="2:4" x14ac:dyDescent="0.3">
      <c r="B265" s="13">
        <v>27691018</v>
      </c>
      <c r="C265" s="1">
        <v>2010000</v>
      </c>
      <c r="D265" s="1">
        <v>34915.47</v>
      </c>
    </row>
    <row r="266" spans="2:4" x14ac:dyDescent="0.3">
      <c r="B266" s="13">
        <v>32365999</v>
      </c>
      <c r="C266" s="1">
        <v>200000</v>
      </c>
      <c r="D266" s="1">
        <v>525524.07999999996</v>
      </c>
    </row>
    <row r="267" spans="2:4" x14ac:dyDescent="0.3">
      <c r="B267" s="13">
        <v>540544</v>
      </c>
      <c r="C267" s="1">
        <v>10000</v>
      </c>
      <c r="D267" s="1">
        <v>3192.24</v>
      </c>
    </row>
    <row r="268" spans="2:4" x14ac:dyDescent="0.3">
      <c r="B268" s="13">
        <v>36910560</v>
      </c>
      <c r="C268" s="1">
        <v>10000</v>
      </c>
      <c r="D268" s="1">
        <v>162870.1</v>
      </c>
    </row>
    <row r="269" spans="2:4" x14ac:dyDescent="0.3">
      <c r="B269" s="13">
        <v>1271768</v>
      </c>
      <c r="C269" s="1">
        <v>10000</v>
      </c>
      <c r="D269" s="1">
        <v>17980.84</v>
      </c>
    </row>
    <row r="270" spans="2:4" x14ac:dyDescent="0.3">
      <c r="B270" s="13">
        <v>4649658</v>
      </c>
      <c r="C270" s="1">
        <v>10000</v>
      </c>
      <c r="D270" s="1">
        <v>13174.35</v>
      </c>
    </row>
    <row r="271" spans="2:4" x14ac:dyDescent="0.3">
      <c r="B271" s="13">
        <v>128932753</v>
      </c>
      <c r="C271" s="1">
        <v>7240000</v>
      </c>
      <c r="D271" s="1">
        <v>1375224.49</v>
      </c>
    </row>
    <row r="272" spans="2:4" x14ac:dyDescent="0.3">
      <c r="B272" s="13">
        <v>4033963</v>
      </c>
      <c r="C272" s="1">
        <v>40000</v>
      </c>
      <c r="D272" s="1">
        <v>24746.880000000001</v>
      </c>
    </row>
    <row r="273" spans="2:4" x14ac:dyDescent="0.3">
      <c r="B273" s="13">
        <v>3278290</v>
      </c>
      <c r="C273" s="1">
        <v>1160000</v>
      </c>
      <c r="D273" s="1">
        <v>23009.53</v>
      </c>
    </row>
    <row r="274" spans="2:4" x14ac:dyDescent="0.3">
      <c r="B274" s="13">
        <v>628066</v>
      </c>
      <c r="C274" s="1">
        <v>20000</v>
      </c>
      <c r="D274" s="1">
        <v>7792.41</v>
      </c>
    </row>
    <row r="275" spans="2:4" x14ac:dyDescent="0.3">
      <c r="B275" s="13">
        <v>31255435</v>
      </c>
      <c r="C275" s="1">
        <v>5020000</v>
      </c>
      <c r="D275" s="1">
        <v>27952.02</v>
      </c>
    </row>
    <row r="276" spans="2:4" x14ac:dyDescent="0.3">
      <c r="B276" s="13">
        <v>2540905</v>
      </c>
      <c r="C276" s="1">
        <v>50000</v>
      </c>
      <c r="D276" s="1">
        <v>16418.54</v>
      </c>
    </row>
    <row r="277" spans="2:4" x14ac:dyDescent="0.3">
      <c r="B277" s="13">
        <v>24206644</v>
      </c>
      <c r="C277" s="1">
        <v>170000</v>
      </c>
      <c r="D277" s="1">
        <v>23492.799999999999</v>
      </c>
    </row>
    <row r="278" spans="2:4" x14ac:dyDescent="0.3">
      <c r="B278" s="13">
        <v>5421241</v>
      </c>
      <c r="C278" s="1">
        <v>600000</v>
      </c>
      <c r="D278" s="1">
        <v>140954.70000000001</v>
      </c>
    </row>
    <row r="279" spans="2:4" x14ac:dyDescent="0.3">
      <c r="B279" s="13">
        <v>4822233</v>
      </c>
      <c r="C279" s="1">
        <v>1910000</v>
      </c>
      <c r="D279" s="1">
        <v>116404.14</v>
      </c>
    </row>
    <row r="280" spans="2:4" x14ac:dyDescent="0.3">
      <c r="B280" s="13">
        <v>5106626</v>
      </c>
      <c r="C280" s="1">
        <v>10000</v>
      </c>
      <c r="D280" s="1">
        <v>64128.88</v>
      </c>
    </row>
    <row r="281" spans="2:4" x14ac:dyDescent="0.3">
      <c r="B281" s="13">
        <v>33469203</v>
      </c>
      <c r="C281" s="1">
        <v>240000</v>
      </c>
      <c r="D281" s="1">
        <v>160192.1</v>
      </c>
    </row>
    <row r="282" spans="2:4" x14ac:dyDescent="0.3">
      <c r="B282" s="13">
        <v>4314767</v>
      </c>
      <c r="C282" s="1">
        <v>200000</v>
      </c>
      <c r="D282" s="1">
        <v>61187.74</v>
      </c>
    </row>
    <row r="283" spans="2:4" x14ac:dyDescent="0.3">
      <c r="B283" s="13">
        <v>17134872</v>
      </c>
      <c r="C283" s="1">
        <v>7550000</v>
      </c>
      <c r="D283" s="1">
        <v>387296.17</v>
      </c>
    </row>
    <row r="284" spans="2:4" x14ac:dyDescent="0.3">
      <c r="B284" s="14">
        <v>109581078</v>
      </c>
      <c r="C284" s="1">
        <v>110000</v>
      </c>
      <c r="D284" s="1">
        <v>664553.68999999994</v>
      </c>
    </row>
    <row r="285" spans="2:4" x14ac:dyDescent="0.3">
      <c r="B285" s="13">
        <v>37846611</v>
      </c>
      <c r="C285" s="1">
        <v>2780000</v>
      </c>
      <c r="D285" s="1">
        <v>682405.58</v>
      </c>
    </row>
    <row r="286" spans="2:4" x14ac:dyDescent="0.3">
      <c r="B286" s="13">
        <v>10196709</v>
      </c>
      <c r="C286" s="1">
        <v>890000</v>
      </c>
      <c r="D286" s="1">
        <v>197248.96</v>
      </c>
    </row>
    <row r="287" spans="2:4" x14ac:dyDescent="0.3">
      <c r="B287" s="13">
        <v>2881053</v>
      </c>
      <c r="C287" s="1">
        <v>20000</v>
      </c>
      <c r="D287" s="1">
        <v>51350.32</v>
      </c>
    </row>
    <row r="288" spans="2:4" x14ac:dyDescent="0.3">
      <c r="B288" s="13">
        <v>10847910</v>
      </c>
      <c r="C288" s="1">
        <v>1230000</v>
      </c>
      <c r="D288" s="1">
        <v>122875.65</v>
      </c>
    </row>
    <row r="289" spans="2:4" x14ac:dyDescent="0.3">
      <c r="B289" s="13">
        <v>10708981</v>
      </c>
      <c r="C289" s="1">
        <v>8280000</v>
      </c>
      <c r="D289" s="1">
        <v>175224.04</v>
      </c>
    </row>
    <row r="290" spans="2:4" x14ac:dyDescent="0.3">
      <c r="B290" s="13">
        <v>19237691</v>
      </c>
      <c r="C290" s="1">
        <v>20000</v>
      </c>
      <c r="D290" s="1">
        <v>333708.13</v>
      </c>
    </row>
    <row r="291" spans="2:4" x14ac:dyDescent="0.3">
      <c r="B291" s="13">
        <v>67886011</v>
      </c>
      <c r="C291" s="1">
        <v>20070000</v>
      </c>
      <c r="D291" s="1">
        <v>1675747.16</v>
      </c>
    </row>
    <row r="292" spans="2:4" x14ac:dyDescent="0.3">
      <c r="B292" s="13">
        <v>145934462</v>
      </c>
      <c r="C292" s="1">
        <v>23180000</v>
      </c>
      <c r="D292" s="1">
        <v>2052553.32</v>
      </c>
    </row>
    <row r="293" spans="2:4" x14ac:dyDescent="0.3">
      <c r="B293" s="13">
        <v>12952218</v>
      </c>
      <c r="C293" s="1">
        <v>430000</v>
      </c>
      <c r="D293" s="1">
        <v>22887.58</v>
      </c>
    </row>
    <row r="294" spans="2:4" x14ac:dyDescent="0.3">
      <c r="B294" s="13">
        <v>16743927</v>
      </c>
      <c r="C294" s="1">
        <v>10000</v>
      </c>
      <c r="D294" s="1">
        <v>40957.129999999997</v>
      </c>
    </row>
    <row r="295" spans="2:4" x14ac:dyDescent="0.3">
      <c r="B295" s="13">
        <v>8737371</v>
      </c>
      <c r="C295" s="1">
        <v>260000</v>
      </c>
      <c r="D295" s="1">
        <v>73024.91</v>
      </c>
    </row>
    <row r="296" spans="2:4" x14ac:dyDescent="0.3">
      <c r="B296" s="13">
        <v>5850342</v>
      </c>
      <c r="C296" s="1">
        <v>970000</v>
      </c>
      <c r="D296" s="1">
        <v>150615.01999999999</v>
      </c>
    </row>
    <row r="297" spans="2:4" x14ac:dyDescent="0.3">
      <c r="B297" s="13">
        <v>5459642</v>
      </c>
      <c r="C297" s="1">
        <v>880000</v>
      </c>
      <c r="D297" s="1">
        <v>81896.740000000005</v>
      </c>
    </row>
    <row r="298" spans="2:4" x14ac:dyDescent="0.3">
      <c r="B298" s="13">
        <v>2078938</v>
      </c>
      <c r="C298" s="1">
        <v>380000</v>
      </c>
      <c r="D298" s="1">
        <v>36878.400000000001</v>
      </c>
    </row>
    <row r="299" spans="2:4" x14ac:dyDescent="0.3">
      <c r="B299" s="13">
        <v>10099265</v>
      </c>
      <c r="C299" s="1">
        <v>2860000</v>
      </c>
      <c r="D299" s="1">
        <v>232153.47</v>
      </c>
    </row>
    <row r="300" spans="2:4" x14ac:dyDescent="0.3">
      <c r="B300" s="13">
        <v>8654622</v>
      </c>
      <c r="C300" s="1">
        <v>1800000</v>
      </c>
      <c r="D300" s="1">
        <v>272167.7</v>
      </c>
    </row>
    <row r="301" spans="2:4" x14ac:dyDescent="0.3">
      <c r="B301" s="13">
        <v>59734218</v>
      </c>
      <c r="C301" s="1">
        <v>1000000</v>
      </c>
      <c r="D301" s="1">
        <v>104631.84</v>
      </c>
    </row>
    <row r="302" spans="2:4" x14ac:dyDescent="0.3">
      <c r="B302" s="13">
        <v>16425864</v>
      </c>
      <c r="C302" s="1">
        <v>350000</v>
      </c>
      <c r="D302" s="1">
        <v>22863.83</v>
      </c>
    </row>
    <row r="303" spans="2:4" x14ac:dyDescent="0.3">
      <c r="B303" s="13">
        <v>69799978</v>
      </c>
      <c r="C303" s="1">
        <v>200000</v>
      </c>
      <c r="D303" s="1">
        <v>653677.25</v>
      </c>
    </row>
    <row r="304" spans="2:4" x14ac:dyDescent="0.3">
      <c r="B304" s="13">
        <v>8278724</v>
      </c>
      <c r="C304" s="1">
        <v>450000</v>
      </c>
      <c r="D304" s="1">
        <v>12995.41</v>
      </c>
    </row>
    <row r="305" spans="2:4" x14ac:dyDescent="0.3">
      <c r="B305" s="13">
        <v>105695</v>
      </c>
      <c r="C305" s="1">
        <v>10000</v>
      </c>
      <c r="D305" s="1">
        <v>601.37</v>
      </c>
    </row>
    <row r="306" spans="2:4" x14ac:dyDescent="0.3">
      <c r="B306" s="15">
        <v>84339067</v>
      </c>
      <c r="C306" s="9">
        <v>960000</v>
      </c>
      <c r="D306" s="9">
        <v>1101864.07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B306"/>
  <sheetViews>
    <sheetView topLeftCell="O113" workbookViewId="0">
      <selection activeCell="D110" sqref="D110"/>
    </sheetView>
  </sheetViews>
  <sheetFormatPr baseColWidth="10" defaultColWidth="11.44140625" defaultRowHeight="14.4" x14ac:dyDescent="0.3"/>
  <cols>
    <col min="1" max="1" width="32.44140625" customWidth="1"/>
  </cols>
  <sheetData>
    <row r="2" spans="2:28" x14ac:dyDescent="0.3">
      <c r="B2" s="22" t="s">
        <v>121</v>
      </c>
      <c r="C2" s="23" t="s">
        <v>122</v>
      </c>
      <c r="D2" s="23" t="s">
        <v>128</v>
      </c>
      <c r="E2" s="24" t="s">
        <v>123</v>
      </c>
      <c r="F2" s="24" t="s">
        <v>124</v>
      </c>
      <c r="G2" s="24" t="s">
        <v>125</v>
      </c>
      <c r="H2" s="24" t="s">
        <v>126</v>
      </c>
      <c r="I2" s="24" t="s">
        <v>148</v>
      </c>
      <c r="J2" s="24" t="s">
        <v>149</v>
      </c>
      <c r="L2" s="23" t="s">
        <v>129</v>
      </c>
      <c r="M2" s="23" t="s">
        <v>135</v>
      </c>
      <c r="N2" s="24" t="s">
        <v>130</v>
      </c>
      <c r="O2" s="24" t="s">
        <v>131</v>
      </c>
      <c r="P2" s="24" t="s">
        <v>132</v>
      </c>
      <c r="Q2" s="24" t="s">
        <v>133</v>
      </c>
      <c r="R2" s="24" t="s">
        <v>150</v>
      </c>
      <c r="S2" s="24" t="s">
        <v>151</v>
      </c>
      <c r="U2" s="23" t="s">
        <v>136</v>
      </c>
      <c r="V2" s="23" t="s">
        <v>142</v>
      </c>
      <c r="W2" s="24" t="s">
        <v>137</v>
      </c>
      <c r="X2" s="24" t="s">
        <v>138</v>
      </c>
      <c r="Y2" s="24" t="s">
        <v>139</v>
      </c>
      <c r="Z2" s="24" t="s">
        <v>140</v>
      </c>
      <c r="AA2" s="24" t="s">
        <v>152</v>
      </c>
      <c r="AB2" s="24" t="s">
        <v>153</v>
      </c>
    </row>
    <row r="3" spans="2:28" x14ac:dyDescent="0.3">
      <c r="B3" s="1">
        <v>2.4</v>
      </c>
      <c r="C3" s="1">
        <v>32</v>
      </c>
      <c r="D3" s="1">
        <f>D200*1000000/B200</f>
        <v>8408.6906994573637</v>
      </c>
      <c r="E3" s="12">
        <v>45.6</v>
      </c>
      <c r="F3" s="2">
        <f>C200/B200</f>
        <v>0.13859689027021166</v>
      </c>
      <c r="G3" s="1">
        <v>12</v>
      </c>
      <c r="H3" s="1">
        <v>29.2</v>
      </c>
      <c r="I3" s="3">
        <v>2.2999999999999998</v>
      </c>
      <c r="J3" s="3">
        <f>IF(H3&gt;4,0,1)</f>
        <v>0</v>
      </c>
      <c r="L3" s="1">
        <f>C3-$C$109</f>
        <v>11.481132075471699</v>
      </c>
      <c r="M3" s="1">
        <f>D3-$D$109</f>
        <v>-4109.6993972225482</v>
      </c>
      <c r="N3" s="1">
        <f>E3-$E$109</f>
        <v>4.0169811320754647</v>
      </c>
      <c r="O3" s="2">
        <f>F3-$F$109</f>
        <v>3.2104737515452633E-2</v>
      </c>
      <c r="P3" s="1">
        <f>G3-$G$109</f>
        <v>6.8301886792452828</v>
      </c>
      <c r="Q3" s="1">
        <f>H3-$H$109</f>
        <v>21.391509433962263</v>
      </c>
      <c r="R3" s="1">
        <f>I3-$I$109</f>
        <v>-0.79811320754717041</v>
      </c>
      <c r="S3" s="1">
        <f>J3-$J$109</f>
        <v>-0.28301886792452829</v>
      </c>
      <c r="U3" s="1">
        <f t="shared" ref="U3:AB3" si="0">L3^2</f>
        <v>131.81639373442508</v>
      </c>
      <c r="V3" s="1">
        <f t="shared" si="0"/>
        <v>16889629.135531377</v>
      </c>
      <c r="W3" s="1">
        <f t="shared" si="0"/>
        <v>16.136137415450282</v>
      </c>
      <c r="X3" s="1">
        <f t="shared" si="0"/>
        <v>1.0307141709361117E-3</v>
      </c>
      <c r="Y3" s="1">
        <f t="shared" si="0"/>
        <v>46.651477394090421</v>
      </c>
      <c r="Z3" s="1">
        <f t="shared" si="0"/>
        <v>457.59667586329647</v>
      </c>
      <c r="AA3" s="1">
        <f t="shared" si="0"/>
        <v>0.63698469206123276</v>
      </c>
      <c r="AB3" s="1">
        <f t="shared" si="0"/>
        <v>8.0099679601281587E-2</v>
      </c>
    </row>
    <row r="4" spans="2:28" x14ac:dyDescent="0.3">
      <c r="B4" s="1">
        <v>1.4</v>
      </c>
      <c r="C4" s="1">
        <v>10</v>
      </c>
      <c r="D4" s="1">
        <f t="shared" ref="D4:D67" si="1">D201*1000000/B201</f>
        <v>8587.1449584525944</v>
      </c>
      <c r="E4" s="1">
        <v>43.2</v>
      </c>
      <c r="F4" s="2">
        <f t="shared" ref="F4:F67" si="2">C201/B201</f>
        <v>1.0424640792939878E-2</v>
      </c>
      <c r="G4" s="1">
        <v>4</v>
      </c>
      <c r="H4" s="1">
        <v>13.3</v>
      </c>
      <c r="I4" s="1">
        <v>2.9</v>
      </c>
      <c r="J4" s="3">
        <f t="shared" ref="J4:J67" si="3">IF(H4&gt;4,0,1)</f>
        <v>0</v>
      </c>
      <c r="L4" s="1">
        <f t="shared" ref="L4:L67" si="4">C4-$C$109</f>
        <v>-10.518867924528301</v>
      </c>
      <c r="M4" s="1">
        <f t="shared" ref="M4:M67" si="5">D4-$D$109</f>
        <v>-3931.2451382273175</v>
      </c>
      <c r="N4" s="1">
        <f t="shared" ref="N4:N67" si="6">E4-$E$109</f>
        <v>1.6169811320754661</v>
      </c>
      <c r="O4" s="2">
        <f t="shared" ref="O4:O67" si="7">F4-$F$109</f>
        <v>-9.6067511961819146E-2</v>
      </c>
      <c r="P4" s="1">
        <f t="shared" ref="P4:P67" si="8">G4-$G$109</f>
        <v>-1.1698113207547172</v>
      </c>
      <c r="Q4" s="1">
        <f t="shared" ref="Q4:Q67" si="9">H4-$H$109</f>
        <v>5.4915094339622659</v>
      </c>
      <c r="R4" s="1">
        <f t="shared" ref="R4:R67" si="10">I4-$I$109</f>
        <v>-0.19811320754717032</v>
      </c>
      <c r="S4" s="1">
        <f t="shared" ref="S4:S67" si="11">J4-$J$109</f>
        <v>-0.28301886792452829</v>
      </c>
      <c r="U4" s="1">
        <f t="shared" ref="U4:U67" si="12">L4^2</f>
        <v>110.64658241367033</v>
      </c>
      <c r="V4" s="1">
        <f t="shared" ref="V4:V67" si="13">M4^2</f>
        <v>15454688.336835921</v>
      </c>
      <c r="W4" s="1">
        <f t="shared" ref="W4:W67" si="14">N4^2</f>
        <v>2.6146279814880562</v>
      </c>
      <c r="X4" s="1">
        <f t="shared" ref="X4:X67" si="15">O4^2</f>
        <v>9.2289668545342644E-3</v>
      </c>
      <c r="Y4" s="1">
        <f t="shared" ref="Y4:Y67" si="16">P4^2</f>
        <v>1.3684585261658957</v>
      </c>
      <c r="Z4" s="1">
        <f t="shared" ref="Z4:Z67" si="17">Q4^2</f>
        <v>30.156675863296567</v>
      </c>
      <c r="AA4" s="1">
        <f t="shared" ref="AA4:AA67" si="18">R4^2</f>
        <v>3.9248843004628185E-2</v>
      </c>
      <c r="AB4" s="1">
        <f t="shared" ref="AB4:AB67" si="19">S4^2</f>
        <v>8.0099679601281587E-2</v>
      </c>
    </row>
    <row r="5" spans="2:28" x14ac:dyDescent="0.3">
      <c r="B5" s="1">
        <v>2.9</v>
      </c>
      <c r="C5" s="1">
        <v>23</v>
      </c>
      <c r="D5" s="1">
        <f t="shared" si="1"/>
        <v>5109.9273713985012</v>
      </c>
      <c r="E5" s="1">
        <v>19</v>
      </c>
      <c r="F5" s="2">
        <f t="shared" si="2"/>
        <v>1.6875310881994052E-2</v>
      </c>
      <c r="G5" s="1">
        <v>0</v>
      </c>
      <c r="H5" s="1">
        <v>12.6</v>
      </c>
      <c r="I5" s="1">
        <v>1.9</v>
      </c>
      <c r="J5" s="3">
        <f t="shared" si="3"/>
        <v>0</v>
      </c>
      <c r="L5" s="1">
        <f t="shared" si="4"/>
        <v>2.4811320754716988</v>
      </c>
      <c r="M5" s="1">
        <f t="shared" si="5"/>
        <v>-7408.4627252814107</v>
      </c>
      <c r="N5" s="1">
        <f t="shared" si="6"/>
        <v>-22.583018867924537</v>
      </c>
      <c r="O5" s="2">
        <f t="shared" si="7"/>
        <v>-8.9616841872764974E-2</v>
      </c>
      <c r="P5" s="1">
        <f t="shared" si="8"/>
        <v>-5.1698113207547172</v>
      </c>
      <c r="Q5" s="1">
        <f t="shared" si="9"/>
        <v>4.7915094339622648</v>
      </c>
      <c r="R5" s="1">
        <f t="shared" si="10"/>
        <v>-1.1981132075471703</v>
      </c>
      <c r="S5" s="1">
        <f t="shared" si="11"/>
        <v>-0.28301886792452829</v>
      </c>
      <c r="U5" s="1">
        <f t="shared" si="12"/>
        <v>6.1560163759344997</v>
      </c>
      <c r="V5" s="1">
        <f t="shared" si="13"/>
        <v>54885319.951884069</v>
      </c>
      <c r="W5" s="1">
        <f t="shared" si="14"/>
        <v>509.9927411890356</v>
      </c>
      <c r="X5" s="1">
        <f t="shared" si="15"/>
        <v>8.0311783472481624E-3</v>
      </c>
      <c r="Y5" s="1">
        <f t="shared" si="16"/>
        <v>26.726949092203633</v>
      </c>
      <c r="Z5" s="1">
        <f t="shared" si="17"/>
        <v>22.958562655749382</v>
      </c>
      <c r="AA5" s="1">
        <f t="shared" si="18"/>
        <v>1.4354752580989689</v>
      </c>
      <c r="AB5" s="1">
        <f t="shared" si="19"/>
        <v>8.0099679601281587E-2</v>
      </c>
    </row>
    <row r="6" spans="2:28" x14ac:dyDescent="0.3">
      <c r="B6" s="1">
        <v>1.5</v>
      </c>
      <c r="C6" s="1">
        <v>4</v>
      </c>
      <c r="D6" s="1">
        <f t="shared" si="1"/>
        <v>26172.542347076484</v>
      </c>
      <c r="E6" s="1">
        <v>47</v>
      </c>
      <c r="F6" s="2">
        <f t="shared" si="2"/>
        <v>0.2524350071759574</v>
      </c>
      <c r="G6" s="1">
        <v>2</v>
      </c>
      <c r="H6" s="1">
        <v>3.8</v>
      </c>
      <c r="I6" s="1">
        <v>8</v>
      </c>
      <c r="J6" s="3">
        <f t="shared" si="3"/>
        <v>1</v>
      </c>
      <c r="L6" s="1">
        <f t="shared" si="4"/>
        <v>-16.518867924528301</v>
      </c>
      <c r="M6" s="1">
        <f t="shared" si="5"/>
        <v>13654.152250396572</v>
      </c>
      <c r="N6" s="1">
        <f t="shared" si="6"/>
        <v>5.4169811320754633</v>
      </c>
      <c r="O6" s="2">
        <f t="shared" si="7"/>
        <v>0.14594285442119836</v>
      </c>
      <c r="P6" s="1">
        <f t="shared" si="8"/>
        <v>-3.1698113207547172</v>
      </c>
      <c r="Q6" s="1">
        <f t="shared" si="9"/>
        <v>-4.008490566037735</v>
      </c>
      <c r="R6" s="1">
        <f t="shared" si="10"/>
        <v>4.9018867924528298</v>
      </c>
      <c r="S6" s="1">
        <f t="shared" si="11"/>
        <v>0.71698113207547176</v>
      </c>
      <c r="U6" s="1">
        <f t="shared" si="12"/>
        <v>272.87299750800997</v>
      </c>
      <c r="V6" s="1">
        <f t="shared" si="13"/>
        <v>186435873.67700976</v>
      </c>
      <c r="W6" s="1">
        <f t="shared" si="14"/>
        <v>29.343684585261567</v>
      </c>
      <c r="X6" s="1">
        <f t="shared" si="15"/>
        <v>2.1299316756607099E-2</v>
      </c>
      <c r="Y6" s="1">
        <f t="shared" si="16"/>
        <v>10.047703809184764</v>
      </c>
      <c r="Z6" s="1">
        <f t="shared" si="17"/>
        <v>16.06799661801352</v>
      </c>
      <c r="AA6" s="1">
        <f t="shared" si="18"/>
        <v>24.028494126023492</v>
      </c>
      <c r="AB6" s="1">
        <f t="shared" si="19"/>
        <v>0.51406194375222514</v>
      </c>
    </row>
    <row r="7" spans="2:28" x14ac:dyDescent="0.3">
      <c r="B7" s="1">
        <v>2.5</v>
      </c>
      <c r="C7" s="1">
        <v>7</v>
      </c>
      <c r="D7" s="1">
        <f t="shared" si="1"/>
        <v>19334.032977832314</v>
      </c>
      <c r="E7" s="1">
        <v>20.7</v>
      </c>
      <c r="F7" s="2">
        <f t="shared" si="2"/>
        <v>6.0320784206961643E-3</v>
      </c>
      <c r="G7" s="1">
        <v>5</v>
      </c>
      <c r="H7" s="1">
        <v>7.4</v>
      </c>
      <c r="I7" s="1">
        <v>2.2000000000000002</v>
      </c>
      <c r="J7" s="3">
        <f t="shared" si="3"/>
        <v>0</v>
      </c>
      <c r="L7" s="1">
        <f t="shared" si="4"/>
        <v>-13.518867924528301</v>
      </c>
      <c r="M7" s="1">
        <f t="shared" si="5"/>
        <v>6815.642881152402</v>
      </c>
      <c r="N7" s="1">
        <f t="shared" si="6"/>
        <v>-20.883018867924537</v>
      </c>
      <c r="O7" s="2">
        <f t="shared" si="7"/>
        <v>-0.10046007433406286</v>
      </c>
      <c r="P7" s="1">
        <f t="shared" si="8"/>
        <v>-0.16981132075471717</v>
      </c>
      <c r="Q7" s="1">
        <f t="shared" si="9"/>
        <v>-0.40849056603773448</v>
      </c>
      <c r="R7" s="1">
        <f t="shared" si="10"/>
        <v>-0.89811320754717006</v>
      </c>
      <c r="S7" s="1">
        <f t="shared" si="11"/>
        <v>-0.28301886792452829</v>
      </c>
      <c r="U7" s="1">
        <f t="shared" si="12"/>
        <v>182.75978996084015</v>
      </c>
      <c r="V7" s="1">
        <f t="shared" si="13"/>
        <v>46452987.883403413</v>
      </c>
      <c r="W7" s="1">
        <f t="shared" si="14"/>
        <v>436.10047703809221</v>
      </c>
      <c r="X7" s="1">
        <f t="shared" si="15"/>
        <v>1.0092226535205435E-2</v>
      </c>
      <c r="Y7" s="1">
        <f t="shared" si="16"/>
        <v>2.8835884656461436E-2</v>
      </c>
      <c r="Z7" s="1">
        <f t="shared" si="17"/>
        <v>0.16686454254182873</v>
      </c>
      <c r="AA7" s="1">
        <f t="shared" si="18"/>
        <v>0.80660733357066616</v>
      </c>
      <c r="AB7" s="1">
        <f t="shared" si="19"/>
        <v>8.0099679601281587E-2</v>
      </c>
    </row>
    <row r="8" spans="2:28" x14ac:dyDescent="0.3">
      <c r="B8" s="1">
        <v>1.6</v>
      </c>
      <c r="C8" s="1">
        <v>11</v>
      </c>
      <c r="D8" s="1">
        <f t="shared" si="1"/>
        <v>9387.6708727566383</v>
      </c>
      <c r="E8" s="1">
        <v>46.5</v>
      </c>
      <c r="F8" s="2">
        <f t="shared" si="2"/>
        <v>1.3498724201828875E-2</v>
      </c>
      <c r="G8" s="1">
        <v>10</v>
      </c>
      <c r="H8" s="1">
        <v>21.2</v>
      </c>
      <c r="I8" s="1">
        <v>4.2</v>
      </c>
      <c r="J8" s="3">
        <f t="shared" si="3"/>
        <v>0</v>
      </c>
      <c r="L8" s="1">
        <f t="shared" si="4"/>
        <v>-9.5188679245283012</v>
      </c>
      <c r="M8" s="1">
        <f t="shared" si="5"/>
        <v>-3130.7192239232736</v>
      </c>
      <c r="N8" s="1">
        <f t="shared" si="6"/>
        <v>4.9169811320754633</v>
      </c>
      <c r="O8" s="2">
        <f t="shared" si="7"/>
        <v>-9.2993428552930149E-2</v>
      </c>
      <c r="P8" s="1">
        <f t="shared" si="8"/>
        <v>4.8301886792452828</v>
      </c>
      <c r="Q8" s="1">
        <f t="shared" si="9"/>
        <v>13.391509433962264</v>
      </c>
      <c r="R8" s="1">
        <f t="shared" si="10"/>
        <v>1.1018867924528299</v>
      </c>
      <c r="S8" s="1">
        <f t="shared" si="11"/>
        <v>-0.28301886792452829</v>
      </c>
      <c r="U8" s="1">
        <f t="shared" si="12"/>
        <v>90.608846564613728</v>
      </c>
      <c r="V8" s="1">
        <f t="shared" si="13"/>
        <v>9801402.8590427451</v>
      </c>
      <c r="W8" s="1">
        <f t="shared" si="14"/>
        <v>24.176703453186104</v>
      </c>
      <c r="X8" s="1">
        <f t="shared" si="15"/>
        <v>8.647777754028925E-3</v>
      </c>
      <c r="Y8" s="1">
        <f t="shared" si="16"/>
        <v>23.330722677109289</v>
      </c>
      <c r="Z8" s="1">
        <f t="shared" si="17"/>
        <v>179.33252491990032</v>
      </c>
      <c r="AA8" s="1">
        <f t="shared" si="18"/>
        <v>1.2141545033819858</v>
      </c>
      <c r="AB8" s="1">
        <f t="shared" si="19"/>
        <v>8.0099679601281587E-2</v>
      </c>
    </row>
    <row r="9" spans="2:28" x14ac:dyDescent="0.3">
      <c r="B9" s="1">
        <v>1.6</v>
      </c>
      <c r="C9" s="1">
        <v>4</v>
      </c>
      <c r="D9" s="1">
        <f t="shared" si="1"/>
        <v>25859.374889705381</v>
      </c>
      <c r="E9" s="1">
        <v>47</v>
      </c>
      <c r="F9" s="2">
        <f t="shared" si="2"/>
        <v>0.27411889403104733</v>
      </c>
      <c r="G9" s="1">
        <v>1</v>
      </c>
      <c r="H9" s="1">
        <v>6.5</v>
      </c>
      <c r="I9" s="1">
        <v>3.8</v>
      </c>
      <c r="J9" s="3">
        <f t="shared" si="3"/>
        <v>0</v>
      </c>
      <c r="L9" s="1">
        <f t="shared" si="4"/>
        <v>-16.518867924528301</v>
      </c>
      <c r="M9" s="1">
        <f t="shared" si="5"/>
        <v>13340.984793025469</v>
      </c>
      <c r="N9" s="1">
        <f t="shared" si="6"/>
        <v>5.4169811320754633</v>
      </c>
      <c r="O9" s="2">
        <f t="shared" si="7"/>
        <v>0.16762674127628829</v>
      </c>
      <c r="P9" s="1">
        <f t="shared" si="8"/>
        <v>-4.1698113207547172</v>
      </c>
      <c r="Q9" s="1">
        <f t="shared" si="9"/>
        <v>-1.3084905660377348</v>
      </c>
      <c r="R9" s="1">
        <f t="shared" si="10"/>
        <v>0.70188679245282959</v>
      </c>
      <c r="S9" s="1">
        <f t="shared" si="11"/>
        <v>-0.28301886792452829</v>
      </c>
      <c r="U9" s="1">
        <f t="shared" si="12"/>
        <v>272.87299750800997</v>
      </c>
      <c r="V9" s="1">
        <f t="shared" si="13"/>
        <v>177981875.24773681</v>
      </c>
      <c r="W9" s="1">
        <f t="shared" si="14"/>
        <v>29.343684585261567</v>
      </c>
      <c r="X9" s="1">
        <f t="shared" si="15"/>
        <v>2.8098724390907694E-2</v>
      </c>
      <c r="Y9" s="1">
        <f t="shared" si="16"/>
        <v>17.3873264506942</v>
      </c>
      <c r="Z9" s="1">
        <f t="shared" si="17"/>
        <v>1.7121475614097517</v>
      </c>
      <c r="AA9" s="1">
        <f t="shared" si="18"/>
        <v>0.49264506941972147</v>
      </c>
      <c r="AB9" s="1">
        <f t="shared" si="19"/>
        <v>8.0099679601281587E-2</v>
      </c>
    </row>
    <row r="10" spans="2:28" x14ac:dyDescent="0.3">
      <c r="B10" s="1">
        <v>1.4</v>
      </c>
      <c r="C10" s="1">
        <v>4</v>
      </c>
      <c r="D10" s="1">
        <f t="shared" si="1"/>
        <v>25827.573909125491</v>
      </c>
      <c r="E10" s="1">
        <v>46.8</v>
      </c>
      <c r="F10" s="2">
        <f t="shared" si="2"/>
        <v>0.13879022446043357</v>
      </c>
      <c r="G10" s="1">
        <v>0</v>
      </c>
      <c r="H10" s="1">
        <v>5.4</v>
      </c>
      <c r="I10" s="1">
        <v>7.4</v>
      </c>
      <c r="J10" s="3">
        <f t="shared" si="3"/>
        <v>0</v>
      </c>
      <c r="L10" s="1">
        <f t="shared" si="4"/>
        <v>-16.518867924528301</v>
      </c>
      <c r="M10" s="1">
        <f t="shared" si="5"/>
        <v>13309.183812445579</v>
      </c>
      <c r="N10" s="1">
        <f t="shared" si="6"/>
        <v>5.2169811320754604</v>
      </c>
      <c r="O10" s="2">
        <f t="shared" si="7"/>
        <v>3.2298071705674544E-2</v>
      </c>
      <c r="P10" s="1">
        <f t="shared" si="8"/>
        <v>-5.1698113207547172</v>
      </c>
      <c r="Q10" s="1">
        <f t="shared" si="9"/>
        <v>-2.4084905660377345</v>
      </c>
      <c r="R10" s="1">
        <f t="shared" si="10"/>
        <v>4.3018867924528301</v>
      </c>
      <c r="S10" s="1">
        <f t="shared" si="11"/>
        <v>-0.28301886792452829</v>
      </c>
      <c r="U10" s="1">
        <f t="shared" si="12"/>
        <v>272.87299750800997</v>
      </c>
      <c r="V10" s="1">
        <f t="shared" si="13"/>
        <v>177134373.75346345</v>
      </c>
      <c r="W10" s="1">
        <f t="shared" si="14"/>
        <v>27.216892132431354</v>
      </c>
      <c r="X10" s="1">
        <f t="shared" si="15"/>
        <v>1.0431654359048946E-3</v>
      </c>
      <c r="Y10" s="1">
        <f t="shared" si="16"/>
        <v>26.726949092203633</v>
      </c>
      <c r="Z10" s="1">
        <f t="shared" si="17"/>
        <v>5.8008268066927666</v>
      </c>
      <c r="AA10" s="1">
        <f t="shared" si="18"/>
        <v>18.5062299750801</v>
      </c>
      <c r="AB10" s="1">
        <f t="shared" si="19"/>
        <v>8.0099679601281587E-2</v>
      </c>
    </row>
    <row r="11" spans="2:28" x14ac:dyDescent="0.3">
      <c r="B11" s="1">
        <v>1.7</v>
      </c>
      <c r="C11" s="1">
        <v>19</v>
      </c>
      <c r="D11" s="1">
        <f t="shared" si="1"/>
        <v>8763.3098820545292</v>
      </c>
      <c r="E11" s="1">
        <v>48.9</v>
      </c>
      <c r="F11" s="2">
        <f t="shared" si="2"/>
        <v>9.8627334348734617E-4</v>
      </c>
      <c r="G11" s="1">
        <v>10</v>
      </c>
      <c r="H11" s="1">
        <v>6.5</v>
      </c>
      <c r="I11" s="1">
        <v>4.8</v>
      </c>
      <c r="J11" s="3">
        <f t="shared" si="3"/>
        <v>0</v>
      </c>
      <c r="L11" s="1">
        <f t="shared" si="4"/>
        <v>-1.5188679245283012</v>
      </c>
      <c r="M11" s="1">
        <f t="shared" si="5"/>
        <v>-3755.0802146253827</v>
      </c>
      <c r="N11" s="1">
        <f t="shared" si="6"/>
        <v>7.3169811320754619</v>
      </c>
      <c r="O11" s="2">
        <f t="shared" si="7"/>
        <v>-0.10550587941127168</v>
      </c>
      <c r="P11" s="1">
        <f t="shared" si="8"/>
        <v>4.8301886792452828</v>
      </c>
      <c r="Q11" s="1">
        <f t="shared" si="9"/>
        <v>-1.3084905660377348</v>
      </c>
      <c r="R11" s="1">
        <f t="shared" si="10"/>
        <v>1.7018867924528296</v>
      </c>
      <c r="S11" s="1">
        <f t="shared" si="11"/>
        <v>-0.28301886792452829</v>
      </c>
      <c r="U11" s="1">
        <f t="shared" si="12"/>
        <v>2.3069597721609094</v>
      </c>
      <c r="V11" s="1">
        <f t="shared" si="13"/>
        <v>14100627.418271011</v>
      </c>
      <c r="W11" s="1">
        <f t="shared" si="14"/>
        <v>53.538212887148305</v>
      </c>
      <c r="X11" s="1">
        <f t="shared" si="15"/>
        <v>1.1131490590345801E-2</v>
      </c>
      <c r="Y11" s="1">
        <f t="shared" si="16"/>
        <v>23.330722677109289</v>
      </c>
      <c r="Z11" s="1">
        <f t="shared" si="17"/>
        <v>1.7121475614097517</v>
      </c>
      <c r="AA11" s="1">
        <f t="shared" si="18"/>
        <v>2.8964186543253807</v>
      </c>
      <c r="AB11" s="1">
        <f t="shared" si="19"/>
        <v>8.0099679601281587E-2</v>
      </c>
    </row>
    <row r="12" spans="2:28" x14ac:dyDescent="0.3">
      <c r="B12" s="1">
        <v>1.8</v>
      </c>
      <c r="C12" s="1">
        <v>7</v>
      </c>
      <c r="D12" s="1">
        <f t="shared" si="1"/>
        <v>16553.199241878847</v>
      </c>
      <c r="E12" s="1">
        <v>20.9</v>
      </c>
      <c r="F12" s="2">
        <f t="shared" si="2"/>
        <v>1.7630724475853253E-2</v>
      </c>
      <c r="G12" s="1">
        <v>2</v>
      </c>
      <c r="H12" s="1">
        <v>1.8</v>
      </c>
      <c r="I12" s="1">
        <v>1.7</v>
      </c>
      <c r="J12" s="3">
        <f t="shared" si="3"/>
        <v>1</v>
      </c>
      <c r="L12" s="1">
        <f t="shared" si="4"/>
        <v>-13.518867924528301</v>
      </c>
      <c r="M12" s="1">
        <f t="shared" si="5"/>
        <v>4034.8091451989349</v>
      </c>
      <c r="N12" s="1">
        <f t="shared" si="6"/>
        <v>-20.683018867924538</v>
      </c>
      <c r="O12" s="2">
        <f t="shared" si="7"/>
        <v>-8.886142827890578E-2</v>
      </c>
      <c r="P12" s="1">
        <f t="shared" si="8"/>
        <v>-3.1698113207547172</v>
      </c>
      <c r="Q12" s="1">
        <f t="shared" si="9"/>
        <v>-6.008490566037735</v>
      </c>
      <c r="R12" s="1">
        <f t="shared" si="10"/>
        <v>-1.3981132075471703</v>
      </c>
      <c r="S12" s="1">
        <f t="shared" si="11"/>
        <v>0.71698113207547176</v>
      </c>
      <c r="U12" s="1">
        <f t="shared" si="12"/>
        <v>182.75978996084015</v>
      </c>
      <c r="V12" s="1">
        <f t="shared" si="13"/>
        <v>16279684.838180959</v>
      </c>
      <c r="W12" s="1">
        <f t="shared" si="14"/>
        <v>427.78726949092243</v>
      </c>
      <c r="X12" s="1">
        <f t="shared" si="15"/>
        <v>7.8963534357671152E-3</v>
      </c>
      <c r="Y12" s="1">
        <f t="shared" si="16"/>
        <v>10.047703809184764</v>
      </c>
      <c r="Z12" s="1">
        <f t="shared" si="17"/>
        <v>36.10195888216446</v>
      </c>
      <c r="AA12" s="1">
        <f t="shared" si="18"/>
        <v>1.9547205411178368</v>
      </c>
      <c r="AB12" s="1">
        <f t="shared" si="19"/>
        <v>0.51406194375222514</v>
      </c>
    </row>
    <row r="13" spans="2:28" x14ac:dyDescent="0.3">
      <c r="B13" s="1">
        <v>1.6</v>
      </c>
      <c r="C13" s="1">
        <v>4</v>
      </c>
      <c r="D13" s="1">
        <f t="shared" si="1"/>
        <v>23592.417113136464</v>
      </c>
      <c r="E13" s="1">
        <v>46.7</v>
      </c>
      <c r="F13" s="2">
        <f t="shared" si="2"/>
        <v>0.29077736178303643</v>
      </c>
      <c r="G13" s="1">
        <v>1</v>
      </c>
      <c r="H13" s="1">
        <v>5.6</v>
      </c>
      <c r="I13" s="1">
        <v>5.7</v>
      </c>
      <c r="J13" s="3">
        <f t="shared" si="3"/>
        <v>0</v>
      </c>
      <c r="L13" s="1">
        <f t="shared" si="4"/>
        <v>-16.518867924528301</v>
      </c>
      <c r="M13" s="1">
        <f t="shared" si="5"/>
        <v>11074.027016456552</v>
      </c>
      <c r="N13" s="1">
        <f t="shared" si="6"/>
        <v>5.1169811320754661</v>
      </c>
      <c r="O13" s="2">
        <f t="shared" si="7"/>
        <v>0.18428520902827739</v>
      </c>
      <c r="P13" s="1">
        <f t="shared" si="8"/>
        <v>-4.1698113207547172</v>
      </c>
      <c r="Q13" s="1">
        <f t="shared" si="9"/>
        <v>-2.2084905660377352</v>
      </c>
      <c r="R13" s="1">
        <f t="shared" si="10"/>
        <v>2.6018867924528299</v>
      </c>
      <c r="S13" s="1">
        <f t="shared" si="11"/>
        <v>-0.28301886792452829</v>
      </c>
      <c r="U13" s="1">
        <f t="shared" si="12"/>
        <v>272.87299750800997</v>
      </c>
      <c r="V13" s="1">
        <f t="shared" si="13"/>
        <v>122634074.3612096</v>
      </c>
      <c r="W13" s="1">
        <f t="shared" si="14"/>
        <v>26.183495906016319</v>
      </c>
      <c r="X13" s="1">
        <f t="shared" si="15"/>
        <v>3.396103826659589E-2</v>
      </c>
      <c r="Y13" s="1">
        <f t="shared" si="16"/>
        <v>17.3873264506942</v>
      </c>
      <c r="Z13" s="1">
        <f t="shared" si="17"/>
        <v>4.8774305802776761</v>
      </c>
      <c r="AA13" s="1">
        <f t="shared" si="18"/>
        <v>6.7698148807404754</v>
      </c>
      <c r="AB13" s="1">
        <f t="shared" si="19"/>
        <v>8.0099679601281587E-2</v>
      </c>
    </row>
    <row r="14" spans="2:28" x14ac:dyDescent="0.3">
      <c r="B14" s="1">
        <v>2</v>
      </c>
      <c r="C14" s="1">
        <v>12</v>
      </c>
      <c r="D14" s="1">
        <f t="shared" si="1"/>
        <v>4327.436699628799</v>
      </c>
      <c r="E14" s="1">
        <v>37.799999999999997</v>
      </c>
      <c r="F14" s="2">
        <f t="shared" si="2"/>
        <v>7.544740310038528E-2</v>
      </c>
      <c r="G14" s="1">
        <v>0</v>
      </c>
      <c r="H14" s="1">
        <v>8.5</v>
      </c>
      <c r="I14" s="1">
        <v>1</v>
      </c>
      <c r="J14" s="3">
        <f t="shared" si="3"/>
        <v>0</v>
      </c>
      <c r="L14" s="1">
        <f t="shared" si="4"/>
        <v>-8.5188679245283012</v>
      </c>
      <c r="M14" s="1">
        <f t="shared" si="5"/>
        <v>-8190.9533970511129</v>
      </c>
      <c r="N14" s="1">
        <f t="shared" si="6"/>
        <v>-3.7830188679245396</v>
      </c>
      <c r="O14" s="2">
        <f t="shared" si="7"/>
        <v>-3.1044749654373746E-2</v>
      </c>
      <c r="P14" s="1">
        <f t="shared" si="8"/>
        <v>-5.1698113207547172</v>
      </c>
      <c r="Q14" s="1">
        <f t="shared" si="9"/>
        <v>0.69150943396226516</v>
      </c>
      <c r="R14" s="1">
        <f t="shared" si="10"/>
        <v>-2.0981132075471702</v>
      </c>
      <c r="S14" s="1">
        <f t="shared" si="11"/>
        <v>-0.28301886792452829</v>
      </c>
      <c r="U14" s="1">
        <f t="shared" si="12"/>
        <v>72.571110715557126</v>
      </c>
      <c r="V14" s="1">
        <f t="shared" si="13"/>
        <v>67091717.55266317</v>
      </c>
      <c r="W14" s="1">
        <f t="shared" si="14"/>
        <v>14.311231755073065</v>
      </c>
      <c r="X14" s="1">
        <f t="shared" si="15"/>
        <v>9.6377648110273887E-4</v>
      </c>
      <c r="Y14" s="1">
        <f t="shared" si="16"/>
        <v>26.726949092203633</v>
      </c>
      <c r="Z14" s="1">
        <f t="shared" si="17"/>
        <v>0.47818529725881237</v>
      </c>
      <c r="AA14" s="1">
        <f t="shared" si="18"/>
        <v>4.4020790316838747</v>
      </c>
      <c r="AB14" s="1">
        <f t="shared" si="19"/>
        <v>8.0099679601281587E-2</v>
      </c>
    </row>
    <row r="15" spans="2:28" x14ac:dyDescent="0.3">
      <c r="B15" s="1">
        <v>5</v>
      </c>
      <c r="C15" s="1">
        <v>86</v>
      </c>
      <c r="D15" s="1">
        <f t="shared" si="1"/>
        <v>2363.06998152303</v>
      </c>
      <c r="E15" s="1">
        <v>49.3</v>
      </c>
      <c r="F15" s="2">
        <f t="shared" si="2"/>
        <v>4.9491883331133697E-2</v>
      </c>
      <c r="G15" s="1">
        <v>7</v>
      </c>
      <c r="H15" s="1">
        <v>1.6</v>
      </c>
      <c r="I15" s="1">
        <v>0.5</v>
      </c>
      <c r="J15" s="3">
        <f t="shared" si="3"/>
        <v>1</v>
      </c>
      <c r="L15" s="1">
        <f t="shared" si="4"/>
        <v>65.481132075471692</v>
      </c>
      <c r="M15" s="1">
        <f t="shared" si="5"/>
        <v>-10155.320115156883</v>
      </c>
      <c r="N15" s="1">
        <f t="shared" si="6"/>
        <v>7.7169811320754604</v>
      </c>
      <c r="O15" s="2">
        <f t="shared" si="7"/>
        <v>-5.7000269423625329E-2</v>
      </c>
      <c r="P15" s="1">
        <f t="shared" si="8"/>
        <v>1.8301886792452828</v>
      </c>
      <c r="Q15" s="1">
        <f t="shared" si="9"/>
        <v>-6.2084905660377352</v>
      </c>
      <c r="R15" s="1">
        <f t="shared" si="10"/>
        <v>-2.5981132075471702</v>
      </c>
      <c r="S15" s="1">
        <f t="shared" si="11"/>
        <v>0.71698113207547176</v>
      </c>
      <c r="U15" s="1">
        <f t="shared" si="12"/>
        <v>4287.7786578853675</v>
      </c>
      <c r="V15" s="1">
        <f t="shared" si="13"/>
        <v>103130526.64131001</v>
      </c>
      <c r="W15" s="1">
        <f t="shared" si="14"/>
        <v>59.551797792808657</v>
      </c>
      <c r="X15" s="1">
        <f t="shared" si="15"/>
        <v>3.2490307143658763E-3</v>
      </c>
      <c r="Y15" s="1">
        <f t="shared" si="16"/>
        <v>3.3495906016375927</v>
      </c>
      <c r="Z15" s="1">
        <f t="shared" si="17"/>
        <v>38.545355108579557</v>
      </c>
      <c r="AA15" s="1">
        <f t="shared" si="18"/>
        <v>6.7501922392310449</v>
      </c>
      <c r="AB15" s="1">
        <f t="shared" si="19"/>
        <v>0.51406194375222514</v>
      </c>
    </row>
    <row r="16" spans="2:28" x14ac:dyDescent="0.3">
      <c r="B16" s="1">
        <v>1.4</v>
      </c>
      <c r="C16" s="1">
        <v>28</v>
      </c>
      <c r="D16" s="1">
        <f t="shared" si="1"/>
        <v>6476.4362215010733</v>
      </c>
      <c r="E16" s="1">
        <v>39.799999999999997</v>
      </c>
      <c r="F16" s="2">
        <f t="shared" si="2"/>
        <v>1.2959948574924055E-2</v>
      </c>
      <c r="G16" s="1">
        <v>4</v>
      </c>
      <c r="H16" s="1">
        <v>3.6</v>
      </c>
      <c r="I16" s="1">
        <v>1.7</v>
      </c>
      <c r="J16" s="3">
        <f t="shared" si="3"/>
        <v>1</v>
      </c>
      <c r="L16" s="1">
        <f t="shared" si="4"/>
        <v>7.4811320754716988</v>
      </c>
      <c r="M16" s="1">
        <f t="shared" si="5"/>
        <v>-6041.9538751788386</v>
      </c>
      <c r="N16" s="1">
        <f t="shared" si="6"/>
        <v>-1.7830188679245396</v>
      </c>
      <c r="O16" s="2">
        <f t="shared" si="7"/>
        <v>-9.3532204179834974E-2</v>
      </c>
      <c r="P16" s="1">
        <f t="shared" si="8"/>
        <v>-1.1698113207547172</v>
      </c>
      <c r="Q16" s="1">
        <f t="shared" si="9"/>
        <v>-4.2084905660377352</v>
      </c>
      <c r="R16" s="1">
        <f t="shared" si="10"/>
        <v>-1.3981132075471703</v>
      </c>
      <c r="S16" s="1">
        <f t="shared" si="11"/>
        <v>0.71698113207547176</v>
      </c>
      <c r="U16" s="1">
        <f t="shared" si="12"/>
        <v>55.967337130651487</v>
      </c>
      <c r="V16" s="1">
        <f t="shared" si="13"/>
        <v>36505206.629788585</v>
      </c>
      <c r="W16" s="1">
        <f t="shared" si="14"/>
        <v>3.1791562833749065</v>
      </c>
      <c r="X16" s="1">
        <f t="shared" si="15"/>
        <v>8.7482732187383391E-3</v>
      </c>
      <c r="Y16" s="1">
        <f t="shared" si="16"/>
        <v>1.3684585261658957</v>
      </c>
      <c r="Z16" s="1">
        <f t="shared" si="17"/>
        <v>17.711392844428616</v>
      </c>
      <c r="AA16" s="1">
        <f t="shared" si="18"/>
        <v>1.9547205411178368</v>
      </c>
      <c r="AB16" s="1">
        <f t="shared" si="19"/>
        <v>0.51406194375222514</v>
      </c>
    </row>
    <row r="17" spans="2:28" x14ac:dyDescent="0.3">
      <c r="B17" s="1">
        <v>2.7</v>
      </c>
      <c r="C17" s="1">
        <v>25</v>
      </c>
      <c r="D17" s="1">
        <f t="shared" si="1"/>
        <v>5789.6280662906374</v>
      </c>
      <c r="E17" s="1">
        <v>42.6</v>
      </c>
      <c r="F17" s="2">
        <f t="shared" si="2"/>
        <v>4.1120460590279073E-2</v>
      </c>
      <c r="G17" s="1">
        <v>5</v>
      </c>
      <c r="H17" s="1">
        <v>7.9</v>
      </c>
      <c r="I17" s="1">
        <v>1.3</v>
      </c>
      <c r="J17" s="3">
        <f t="shared" si="3"/>
        <v>0</v>
      </c>
      <c r="L17" s="1">
        <f t="shared" si="4"/>
        <v>4.4811320754716988</v>
      </c>
      <c r="M17" s="1">
        <f t="shared" si="5"/>
        <v>-6728.7620303892745</v>
      </c>
      <c r="N17" s="1">
        <f t="shared" si="6"/>
        <v>1.0169811320754647</v>
      </c>
      <c r="O17" s="2">
        <f t="shared" si="7"/>
        <v>-6.5371692164479953E-2</v>
      </c>
      <c r="P17" s="1">
        <f t="shared" si="8"/>
        <v>-0.16981132075471717</v>
      </c>
      <c r="Q17" s="1">
        <f t="shared" si="9"/>
        <v>9.1509433962265518E-2</v>
      </c>
      <c r="R17" s="1">
        <f t="shared" si="10"/>
        <v>-1.7981132075471702</v>
      </c>
      <c r="S17" s="1">
        <f t="shared" si="11"/>
        <v>-0.28301886792452829</v>
      </c>
      <c r="U17" s="1">
        <f t="shared" si="12"/>
        <v>20.080544677821294</v>
      </c>
      <c r="V17" s="1">
        <f t="shared" si="13"/>
        <v>45276238.461608395</v>
      </c>
      <c r="W17" s="1">
        <f t="shared" si="14"/>
        <v>1.0342506229974937</v>
      </c>
      <c r="X17" s="1">
        <f t="shared" si="15"/>
        <v>4.2734581364475294E-3</v>
      </c>
      <c r="Y17" s="1">
        <f t="shared" si="16"/>
        <v>2.8835884656461436E-2</v>
      </c>
      <c r="Z17" s="1">
        <f t="shared" si="17"/>
        <v>8.3739765040942334E-3</v>
      </c>
      <c r="AA17" s="1">
        <f t="shared" si="18"/>
        <v>3.2332111071555727</v>
      </c>
      <c r="AB17" s="1">
        <f t="shared" si="19"/>
        <v>8.0099679601281587E-2</v>
      </c>
    </row>
    <row r="18" spans="2:28" x14ac:dyDescent="0.3">
      <c r="B18" s="1">
        <v>1.6</v>
      </c>
      <c r="C18" s="1">
        <v>15</v>
      </c>
      <c r="D18" s="1">
        <f t="shared" si="1"/>
        <v>8831.180672010727</v>
      </c>
      <c r="E18" s="1">
        <v>42.8</v>
      </c>
      <c r="F18" s="2">
        <f t="shared" si="2"/>
        <v>8.1058296754396811E-2</v>
      </c>
      <c r="G18" s="1">
        <v>5</v>
      </c>
      <c r="H18" s="1">
        <v>13.7</v>
      </c>
      <c r="I18" s="1">
        <v>2.1</v>
      </c>
      <c r="J18" s="3">
        <f t="shared" si="3"/>
        <v>0</v>
      </c>
      <c r="L18" s="1">
        <f t="shared" si="4"/>
        <v>-5.5188679245283012</v>
      </c>
      <c r="M18" s="1">
        <f t="shared" si="5"/>
        <v>-3687.209424669185</v>
      </c>
      <c r="N18" s="1">
        <f t="shared" si="6"/>
        <v>1.2169811320754604</v>
      </c>
      <c r="O18" s="2">
        <f t="shared" si="7"/>
        <v>-2.5433856000362215E-2</v>
      </c>
      <c r="P18" s="1">
        <f t="shared" si="8"/>
        <v>-0.16981132075471717</v>
      </c>
      <c r="Q18" s="1">
        <f t="shared" si="9"/>
        <v>5.8915094339622645</v>
      </c>
      <c r="R18" s="1">
        <f t="shared" si="10"/>
        <v>-0.99811320754717014</v>
      </c>
      <c r="S18" s="1">
        <f t="shared" si="11"/>
        <v>-0.28301886792452829</v>
      </c>
      <c r="U18" s="1">
        <f t="shared" si="12"/>
        <v>30.457903168387318</v>
      </c>
      <c r="V18" s="1">
        <f t="shared" si="13"/>
        <v>13595513.341369262</v>
      </c>
      <c r="W18" s="1">
        <f t="shared" si="14"/>
        <v>1.4810430758276694</v>
      </c>
      <c r="X18" s="1">
        <f t="shared" si="15"/>
        <v>6.4688103104716102E-4</v>
      </c>
      <c r="Y18" s="1">
        <f t="shared" si="16"/>
        <v>2.8835884656461436E-2</v>
      </c>
      <c r="Z18" s="1">
        <f t="shared" si="17"/>
        <v>34.709883410466361</v>
      </c>
      <c r="AA18" s="1">
        <f t="shared" si="18"/>
        <v>0.99622997508010036</v>
      </c>
      <c r="AB18" s="1">
        <f t="shared" si="19"/>
        <v>8.0099679601281587E-2</v>
      </c>
    </row>
    <row r="19" spans="2:28" x14ac:dyDescent="0.3">
      <c r="B19" s="1">
        <v>1.8</v>
      </c>
      <c r="C19" s="1">
        <v>12</v>
      </c>
      <c r="D19" s="1">
        <f t="shared" si="1"/>
        <v>13291.97515766471</v>
      </c>
      <c r="E19" s="1">
        <v>41.1</v>
      </c>
      <c r="F19" s="2">
        <f t="shared" si="2"/>
        <v>2.2858240052665384E-2</v>
      </c>
      <c r="G19" s="1">
        <v>2</v>
      </c>
      <c r="H19" s="1">
        <v>7.7</v>
      </c>
      <c r="I19" s="1">
        <v>2.9</v>
      </c>
      <c r="J19" s="3">
        <f t="shared" si="3"/>
        <v>0</v>
      </c>
      <c r="L19" s="1">
        <f t="shared" si="4"/>
        <v>-8.5188679245283012</v>
      </c>
      <c r="M19" s="1">
        <f t="shared" si="5"/>
        <v>773.58506098479847</v>
      </c>
      <c r="N19" s="1">
        <f t="shared" si="6"/>
        <v>-0.4830188679245353</v>
      </c>
      <c r="O19" s="2">
        <f t="shared" si="7"/>
        <v>-8.3633912702093638E-2</v>
      </c>
      <c r="P19" s="1">
        <f t="shared" si="8"/>
        <v>-3.1698113207547172</v>
      </c>
      <c r="Q19" s="1">
        <f t="shared" si="9"/>
        <v>-0.10849056603773466</v>
      </c>
      <c r="R19" s="1">
        <f t="shared" si="10"/>
        <v>-0.19811320754717032</v>
      </c>
      <c r="S19" s="1">
        <f t="shared" si="11"/>
        <v>-0.28301886792452829</v>
      </c>
      <c r="U19" s="1">
        <f t="shared" si="12"/>
        <v>72.571110715557126</v>
      </c>
      <c r="V19" s="1">
        <f t="shared" si="13"/>
        <v>598433.84657885437</v>
      </c>
      <c r="W19" s="1">
        <f t="shared" si="14"/>
        <v>0.23330722677109966</v>
      </c>
      <c r="X19" s="1">
        <f t="shared" si="15"/>
        <v>6.9946313538614196E-3</v>
      </c>
      <c r="Y19" s="1">
        <f t="shared" si="16"/>
        <v>10.047703809184764</v>
      </c>
      <c r="Z19" s="1">
        <f t="shared" si="17"/>
        <v>1.1770202919188065E-2</v>
      </c>
      <c r="AA19" s="1">
        <f t="shared" si="18"/>
        <v>3.9248843004628185E-2</v>
      </c>
      <c r="AB19" s="1">
        <f t="shared" si="19"/>
        <v>8.0099679601281587E-2</v>
      </c>
    </row>
    <row r="20" spans="2:28" x14ac:dyDescent="0.3">
      <c r="B20" s="1">
        <v>1.6</v>
      </c>
      <c r="C20" s="1">
        <v>6</v>
      </c>
      <c r="D20" s="1">
        <f t="shared" si="1"/>
        <v>12933.502387944352</v>
      </c>
      <c r="E20" s="1">
        <v>46</v>
      </c>
      <c r="F20" s="2">
        <f t="shared" si="2"/>
        <v>4.6053469517280482E-2</v>
      </c>
      <c r="G20" s="1">
        <v>15</v>
      </c>
      <c r="H20" s="1">
        <v>5.0999999999999996</v>
      </c>
      <c r="I20" s="1">
        <v>7.5</v>
      </c>
      <c r="J20" s="3">
        <f t="shared" si="3"/>
        <v>0</v>
      </c>
      <c r="L20" s="1">
        <f t="shared" si="4"/>
        <v>-14.518867924528301</v>
      </c>
      <c r="M20" s="1">
        <f t="shared" si="5"/>
        <v>415.1122912644405</v>
      </c>
      <c r="N20" s="1">
        <f t="shared" si="6"/>
        <v>4.4169811320754633</v>
      </c>
      <c r="O20" s="2">
        <f t="shared" si="7"/>
        <v>-6.0438683237478544E-2</v>
      </c>
      <c r="P20" s="1">
        <f t="shared" si="8"/>
        <v>9.8301886792452819</v>
      </c>
      <c r="Q20" s="1">
        <f t="shared" si="9"/>
        <v>-2.7084905660377352</v>
      </c>
      <c r="R20" s="1">
        <f t="shared" si="10"/>
        <v>4.4018867924528298</v>
      </c>
      <c r="S20" s="1">
        <f t="shared" si="11"/>
        <v>-0.28301886792452829</v>
      </c>
      <c r="U20" s="1">
        <f t="shared" si="12"/>
        <v>210.79752580989674</v>
      </c>
      <c r="V20" s="1">
        <f t="shared" si="13"/>
        <v>172318.21435881368</v>
      </c>
      <c r="W20" s="1">
        <f t="shared" si="14"/>
        <v>19.50972232111064</v>
      </c>
      <c r="X20" s="1">
        <f t="shared" si="15"/>
        <v>3.6528344314802701E-3</v>
      </c>
      <c r="Y20" s="1">
        <f t="shared" si="16"/>
        <v>96.632609469562098</v>
      </c>
      <c r="Z20" s="1">
        <f t="shared" si="17"/>
        <v>7.3359211463154113</v>
      </c>
      <c r="AA20" s="1">
        <f t="shared" si="18"/>
        <v>19.376607333570661</v>
      </c>
      <c r="AB20" s="1">
        <f t="shared" si="19"/>
        <v>8.0099679601281587E-2</v>
      </c>
    </row>
    <row r="21" spans="2:28" x14ac:dyDescent="0.3">
      <c r="B21" s="1">
        <v>5.2</v>
      </c>
      <c r="C21" s="1">
        <v>54</v>
      </c>
      <c r="D21" s="1">
        <f t="shared" si="1"/>
        <v>579.78262829431605</v>
      </c>
      <c r="E21" s="1">
        <v>51.5</v>
      </c>
      <c r="F21" s="2">
        <f t="shared" si="2"/>
        <v>8.4098744035717072E-4</v>
      </c>
      <c r="G21" s="1">
        <v>10</v>
      </c>
      <c r="H21" s="1">
        <v>1.7</v>
      </c>
      <c r="I21" s="1">
        <v>0.8</v>
      </c>
      <c r="J21" s="3">
        <f t="shared" si="3"/>
        <v>1</v>
      </c>
      <c r="L21" s="1">
        <f t="shared" si="4"/>
        <v>33.481132075471699</v>
      </c>
      <c r="M21" s="1">
        <f t="shared" si="5"/>
        <v>-11938.607468385595</v>
      </c>
      <c r="N21" s="1">
        <f t="shared" si="6"/>
        <v>9.9169811320754633</v>
      </c>
      <c r="O21" s="2">
        <f t="shared" si="7"/>
        <v>-0.10565116531440186</v>
      </c>
      <c r="P21" s="1">
        <f t="shared" si="8"/>
        <v>4.8301886792452828</v>
      </c>
      <c r="Q21" s="1">
        <f t="shared" si="9"/>
        <v>-6.1084905660377347</v>
      </c>
      <c r="R21" s="1">
        <f t="shared" si="10"/>
        <v>-2.2981132075471704</v>
      </c>
      <c r="S21" s="1">
        <f t="shared" si="11"/>
        <v>0.71698113207547176</v>
      </c>
      <c r="U21" s="1">
        <f t="shared" si="12"/>
        <v>1120.9862050551799</v>
      </c>
      <c r="V21" s="1">
        <f t="shared" si="13"/>
        <v>142530348.28419229</v>
      </c>
      <c r="W21" s="1">
        <f t="shared" si="14"/>
        <v>98.34651477394074</v>
      </c>
      <c r="X21" s="1">
        <f t="shared" si="15"/>
        <v>1.116216873229107E-2</v>
      </c>
      <c r="Y21" s="1">
        <f t="shared" si="16"/>
        <v>23.330722677109289</v>
      </c>
      <c r="Z21" s="1">
        <f t="shared" si="17"/>
        <v>37.313656995372007</v>
      </c>
      <c r="AA21" s="1">
        <f t="shared" si="18"/>
        <v>5.2813243147027435</v>
      </c>
      <c r="AB21" s="1">
        <f t="shared" si="19"/>
        <v>0.51406194375222514</v>
      </c>
    </row>
    <row r="22" spans="2:28" x14ac:dyDescent="0.3">
      <c r="B22" s="1">
        <v>1.9</v>
      </c>
      <c r="C22" s="1">
        <v>14</v>
      </c>
      <c r="D22" s="1">
        <f t="shared" si="1"/>
        <v>4058.1164667519206</v>
      </c>
      <c r="E22" s="1">
        <v>43.3</v>
      </c>
      <c r="F22" s="2">
        <f t="shared" si="2"/>
        <v>8.9930160237559509E-2</v>
      </c>
      <c r="G22" s="1">
        <v>8</v>
      </c>
      <c r="H22" s="1">
        <v>15.3</v>
      </c>
      <c r="I22" s="1">
        <v>2.1</v>
      </c>
      <c r="J22" s="3">
        <f t="shared" si="3"/>
        <v>0</v>
      </c>
      <c r="L22" s="1">
        <f t="shared" si="4"/>
        <v>-6.5188679245283012</v>
      </c>
      <c r="M22" s="1">
        <f t="shared" si="5"/>
        <v>-8460.2736299279914</v>
      </c>
      <c r="N22" s="1">
        <f t="shared" si="6"/>
        <v>1.7169811320754604</v>
      </c>
      <c r="O22" s="2">
        <f t="shared" si="7"/>
        <v>-1.6561992517199517E-2</v>
      </c>
      <c r="P22" s="1">
        <f t="shared" si="8"/>
        <v>2.8301886792452828</v>
      </c>
      <c r="Q22" s="1">
        <f t="shared" si="9"/>
        <v>7.4915094339622659</v>
      </c>
      <c r="R22" s="1">
        <f t="shared" si="10"/>
        <v>-0.99811320754717014</v>
      </c>
      <c r="S22" s="1">
        <f t="shared" si="11"/>
        <v>-0.28301886792452829</v>
      </c>
      <c r="U22" s="1">
        <f t="shared" si="12"/>
        <v>42.495639017443921</v>
      </c>
      <c r="V22" s="1">
        <f t="shared" si="13"/>
        <v>71576229.893254951</v>
      </c>
      <c r="W22" s="1">
        <f t="shared" si="14"/>
        <v>2.9480242079031296</v>
      </c>
      <c r="X22" s="1">
        <f t="shared" si="15"/>
        <v>2.7429959613977278E-4</v>
      </c>
      <c r="Y22" s="1">
        <f t="shared" si="16"/>
        <v>8.0099679601281579</v>
      </c>
      <c r="Z22" s="1">
        <f t="shared" si="17"/>
        <v>56.122713599145627</v>
      </c>
      <c r="AA22" s="1">
        <f t="shared" si="18"/>
        <v>0.99622997508010036</v>
      </c>
      <c r="AB22" s="1">
        <f t="shared" si="19"/>
        <v>8.0099679601281587E-2</v>
      </c>
    </row>
    <row r="23" spans="2:28" x14ac:dyDescent="0.3">
      <c r="B23" s="1">
        <v>2.4</v>
      </c>
      <c r="C23" s="1">
        <v>26</v>
      </c>
      <c r="D23" s="1">
        <f t="shared" si="1"/>
        <v>2903.622921634204</v>
      </c>
      <c r="E23" s="1">
        <v>47.6</v>
      </c>
      <c r="F23" s="2">
        <f t="shared" si="2"/>
        <v>1.7943694481087796E-3</v>
      </c>
      <c r="G23" s="1">
        <v>11</v>
      </c>
      <c r="H23" s="1">
        <v>0.3</v>
      </c>
      <c r="I23" s="1">
        <v>1.9</v>
      </c>
      <c r="J23" s="3">
        <f t="shared" si="3"/>
        <v>1</v>
      </c>
      <c r="L23" s="1">
        <f t="shared" si="4"/>
        <v>5.4811320754716988</v>
      </c>
      <c r="M23" s="1">
        <f t="shared" si="5"/>
        <v>-9614.7671750457084</v>
      </c>
      <c r="N23" s="1">
        <f t="shared" si="6"/>
        <v>6.0169811320754647</v>
      </c>
      <c r="O23" s="2">
        <f t="shared" si="7"/>
        <v>-0.10469778330665025</v>
      </c>
      <c r="P23" s="1">
        <f t="shared" si="8"/>
        <v>5.8301886792452828</v>
      </c>
      <c r="Q23" s="1">
        <f t="shared" si="9"/>
        <v>-7.508490566037735</v>
      </c>
      <c r="R23" s="1">
        <f t="shared" si="10"/>
        <v>-1.1981132075471703</v>
      </c>
      <c r="S23" s="1">
        <f t="shared" si="11"/>
        <v>0.71698113207547176</v>
      </c>
      <c r="U23" s="1">
        <f t="shared" si="12"/>
        <v>30.042808828764691</v>
      </c>
      <c r="V23" s="1">
        <f t="shared" si="13"/>
        <v>92443747.830336437</v>
      </c>
      <c r="W23" s="1">
        <f t="shared" si="14"/>
        <v>36.204061943752144</v>
      </c>
      <c r="X23" s="1">
        <f t="shared" si="15"/>
        <v>1.0961625829326291E-2</v>
      </c>
      <c r="Y23" s="1">
        <f t="shared" si="16"/>
        <v>33.991100035599857</v>
      </c>
      <c r="Z23" s="1">
        <f t="shared" si="17"/>
        <v>56.377430580277668</v>
      </c>
      <c r="AA23" s="1">
        <f t="shared" si="18"/>
        <v>1.4354752580989689</v>
      </c>
      <c r="AB23" s="1">
        <f t="shared" si="19"/>
        <v>0.51406194375222514</v>
      </c>
    </row>
    <row r="24" spans="2:28" x14ac:dyDescent="0.3">
      <c r="B24" s="1">
        <v>4.5</v>
      </c>
      <c r="C24" s="1">
        <v>72</v>
      </c>
      <c r="D24" s="1">
        <f t="shared" si="1"/>
        <v>2723.544154507239</v>
      </c>
      <c r="E24" s="1">
        <v>47</v>
      </c>
      <c r="F24" s="2">
        <f t="shared" si="2"/>
        <v>4.7465023080997593E-2</v>
      </c>
      <c r="G24" s="1">
        <v>8</v>
      </c>
      <c r="H24" s="1">
        <v>3.8</v>
      </c>
      <c r="I24" s="1">
        <v>1.3</v>
      </c>
      <c r="J24" s="3">
        <f t="shared" si="3"/>
        <v>1</v>
      </c>
      <c r="L24" s="1">
        <f t="shared" si="4"/>
        <v>51.481132075471699</v>
      </c>
      <c r="M24" s="1">
        <f t="shared" si="5"/>
        <v>-9794.8459421726729</v>
      </c>
      <c r="N24" s="1">
        <f t="shared" si="6"/>
        <v>5.4169811320754633</v>
      </c>
      <c r="O24" s="2">
        <f t="shared" si="7"/>
        <v>-5.9027129673761433E-2</v>
      </c>
      <c r="P24" s="1">
        <f t="shared" si="8"/>
        <v>2.8301886792452828</v>
      </c>
      <c r="Q24" s="1">
        <f t="shared" si="9"/>
        <v>-4.008490566037735</v>
      </c>
      <c r="R24" s="1">
        <f t="shared" si="10"/>
        <v>-1.7981132075471702</v>
      </c>
      <c r="S24" s="1">
        <f t="shared" si="11"/>
        <v>0.71698113207547176</v>
      </c>
      <c r="U24" s="1">
        <f t="shared" si="12"/>
        <v>2650.306959772161</v>
      </c>
      <c r="V24" s="1">
        <f t="shared" si="13"/>
        <v>95939007.03089647</v>
      </c>
      <c r="W24" s="1">
        <f t="shared" si="14"/>
        <v>29.343684585261567</v>
      </c>
      <c r="X24" s="1">
        <f t="shared" si="15"/>
        <v>3.4842020375230476E-3</v>
      </c>
      <c r="Y24" s="1">
        <f t="shared" si="16"/>
        <v>8.0099679601281579</v>
      </c>
      <c r="Z24" s="1">
        <f t="shared" si="17"/>
        <v>16.06799661801352</v>
      </c>
      <c r="AA24" s="1">
        <f t="shared" si="18"/>
        <v>3.2332111071555727</v>
      </c>
      <c r="AB24" s="1">
        <f t="shared" si="19"/>
        <v>0.51406194375222514</v>
      </c>
    </row>
    <row r="25" spans="2:28" x14ac:dyDescent="0.3">
      <c r="B25" s="1">
        <v>1.4</v>
      </c>
      <c r="C25" s="1">
        <v>5</v>
      </c>
      <c r="D25" s="1">
        <f t="shared" si="1"/>
        <v>25269.252782975767</v>
      </c>
      <c r="E25" s="1">
        <v>47</v>
      </c>
      <c r="F25" s="2">
        <f t="shared" si="2"/>
        <v>0.23713537918371061</v>
      </c>
      <c r="G25" s="1">
        <v>0</v>
      </c>
      <c r="H25" s="1">
        <v>9.5</v>
      </c>
      <c r="I25" s="1">
        <v>2.5</v>
      </c>
      <c r="J25" s="3">
        <f t="shared" si="3"/>
        <v>0</v>
      </c>
      <c r="L25" s="1">
        <f t="shared" si="4"/>
        <v>-15.518867924528301</v>
      </c>
      <c r="M25" s="1">
        <f t="shared" si="5"/>
        <v>12750.862686295855</v>
      </c>
      <c r="N25" s="1">
        <f t="shared" si="6"/>
        <v>5.4169811320754633</v>
      </c>
      <c r="O25" s="2">
        <f t="shared" si="7"/>
        <v>0.1306432264289516</v>
      </c>
      <c r="P25" s="1">
        <f t="shared" si="8"/>
        <v>-5.1698113207547172</v>
      </c>
      <c r="Q25" s="1">
        <f t="shared" si="9"/>
        <v>1.6915094339622652</v>
      </c>
      <c r="R25" s="1">
        <f t="shared" si="10"/>
        <v>-0.59811320754717023</v>
      </c>
      <c r="S25" s="1">
        <f t="shared" si="11"/>
        <v>-0.28301886792452829</v>
      </c>
      <c r="U25" s="1">
        <f t="shared" si="12"/>
        <v>240.83526165895336</v>
      </c>
      <c r="V25" s="1">
        <f t="shared" si="13"/>
        <v>162584499.24477196</v>
      </c>
      <c r="W25" s="1">
        <f t="shared" si="14"/>
        <v>29.343684585261567</v>
      </c>
      <c r="X25" s="1">
        <f t="shared" si="15"/>
        <v>1.7067652611766317E-2</v>
      </c>
      <c r="Y25" s="1">
        <f t="shared" si="16"/>
        <v>26.726949092203633</v>
      </c>
      <c r="Z25" s="1">
        <f t="shared" si="17"/>
        <v>2.8612041651833429</v>
      </c>
      <c r="AA25" s="1">
        <f t="shared" si="18"/>
        <v>0.35773940904236434</v>
      </c>
      <c r="AB25" s="1">
        <f t="shared" si="19"/>
        <v>8.0099679601281587E-2</v>
      </c>
    </row>
    <row r="26" spans="2:28" x14ac:dyDescent="0.3">
      <c r="B26" s="1">
        <v>1.5</v>
      </c>
      <c r="C26" s="1">
        <v>7</v>
      </c>
      <c r="D26" s="1">
        <f t="shared" si="1"/>
        <v>12906.008364318832</v>
      </c>
      <c r="E26" s="1">
        <v>40.799999999999997</v>
      </c>
      <c r="F26" s="2">
        <f t="shared" si="2"/>
        <v>9.41609684895027E-2</v>
      </c>
      <c r="G26" s="1">
        <v>1</v>
      </c>
      <c r="H26" s="1">
        <v>11.2</v>
      </c>
      <c r="I26" s="1">
        <v>2.1</v>
      </c>
      <c r="J26" s="3">
        <f t="shared" si="3"/>
        <v>0</v>
      </c>
      <c r="L26" s="1">
        <f t="shared" si="4"/>
        <v>-13.518867924528301</v>
      </c>
      <c r="M26" s="1">
        <f t="shared" si="5"/>
        <v>387.61826763891986</v>
      </c>
      <c r="N26" s="1">
        <f t="shared" si="6"/>
        <v>-0.78301886792453956</v>
      </c>
      <c r="O26" s="2">
        <f t="shared" si="7"/>
        <v>-1.2331184265256326E-2</v>
      </c>
      <c r="P26" s="1">
        <f t="shared" si="8"/>
        <v>-4.1698113207547172</v>
      </c>
      <c r="Q26" s="1">
        <f t="shared" si="9"/>
        <v>3.3915094339622645</v>
      </c>
      <c r="R26" s="1">
        <f t="shared" si="10"/>
        <v>-0.99811320754717014</v>
      </c>
      <c r="S26" s="1">
        <f t="shared" si="11"/>
        <v>-0.28301886792452829</v>
      </c>
      <c r="U26" s="1">
        <f t="shared" si="12"/>
        <v>182.75978996084015</v>
      </c>
      <c r="V26" s="1">
        <f t="shared" si="13"/>
        <v>150247.92140739731</v>
      </c>
      <c r="W26" s="1">
        <f t="shared" si="14"/>
        <v>0.61311854752582751</v>
      </c>
      <c r="X26" s="1">
        <f t="shared" si="15"/>
        <v>1.5205810538370518E-4</v>
      </c>
      <c r="Y26" s="1">
        <f t="shared" si="16"/>
        <v>17.3873264506942</v>
      </c>
      <c r="Z26" s="1">
        <f t="shared" si="17"/>
        <v>11.502336240655039</v>
      </c>
      <c r="AA26" s="1">
        <f t="shared" si="18"/>
        <v>0.99622997508010036</v>
      </c>
      <c r="AB26" s="1">
        <f t="shared" si="19"/>
        <v>8.0099679601281587E-2</v>
      </c>
    </row>
    <row r="27" spans="2:28" x14ac:dyDescent="0.3">
      <c r="B27" s="1">
        <v>1.3</v>
      </c>
      <c r="C27" s="1">
        <v>3</v>
      </c>
      <c r="D27" s="1">
        <f t="shared" si="1"/>
        <v>16936.752034813177</v>
      </c>
      <c r="E27" s="1">
        <v>45.1</v>
      </c>
      <c r="F27" s="2">
        <f t="shared" si="2"/>
        <v>1.6565081305560319E-2</v>
      </c>
      <c r="G27" s="1">
        <v>0</v>
      </c>
      <c r="H27" s="1">
        <v>7.6</v>
      </c>
      <c r="I27" s="1">
        <v>1.95</v>
      </c>
      <c r="J27" s="3">
        <f t="shared" si="3"/>
        <v>0</v>
      </c>
      <c r="L27" s="1">
        <f t="shared" si="4"/>
        <v>-17.518867924528301</v>
      </c>
      <c r="M27" s="1">
        <f t="shared" si="5"/>
        <v>4418.3619381332646</v>
      </c>
      <c r="N27" s="1">
        <f t="shared" si="6"/>
        <v>3.5169811320754647</v>
      </c>
      <c r="O27" s="2">
        <f t="shared" si="7"/>
        <v>-8.9927071449198703E-2</v>
      </c>
      <c r="P27" s="1">
        <f t="shared" si="8"/>
        <v>-5.1698113207547172</v>
      </c>
      <c r="Q27" s="1">
        <f t="shared" si="9"/>
        <v>-0.20849056603773519</v>
      </c>
      <c r="R27" s="1">
        <f t="shared" si="10"/>
        <v>-1.1481132075471703</v>
      </c>
      <c r="S27" s="1">
        <f t="shared" si="11"/>
        <v>-0.28301886792452829</v>
      </c>
      <c r="U27" s="1">
        <f t="shared" si="12"/>
        <v>306.91073335706653</v>
      </c>
      <c r="V27" s="1">
        <f t="shared" si="13"/>
        <v>19521922.21634474</v>
      </c>
      <c r="W27" s="1">
        <f t="shared" si="14"/>
        <v>12.369156283374817</v>
      </c>
      <c r="X27" s="1">
        <f t="shared" si="15"/>
        <v>8.0868781794292879E-3</v>
      </c>
      <c r="Y27" s="1">
        <f t="shared" si="16"/>
        <v>26.726949092203633</v>
      </c>
      <c r="Z27" s="1">
        <f t="shared" si="17"/>
        <v>4.3468316126735219E-2</v>
      </c>
      <c r="AA27" s="1">
        <f t="shared" si="18"/>
        <v>1.3181639373442517</v>
      </c>
      <c r="AB27" s="1">
        <f t="shared" si="19"/>
        <v>8.0099679601281587E-2</v>
      </c>
    </row>
    <row r="28" spans="2:28" x14ac:dyDescent="0.3">
      <c r="B28" s="1">
        <v>1.7</v>
      </c>
      <c r="C28" s="1">
        <v>13</v>
      </c>
      <c r="D28" s="1">
        <f t="shared" si="1"/>
        <v>9046.0239375942692</v>
      </c>
      <c r="E28" s="1">
        <v>41</v>
      </c>
      <c r="F28" s="2">
        <f t="shared" si="2"/>
        <v>6.8981929505538511E-2</v>
      </c>
      <c r="G28" s="1">
        <v>1</v>
      </c>
      <c r="H28" s="1">
        <v>15</v>
      </c>
      <c r="I28" s="1">
        <v>1.7</v>
      </c>
      <c r="J28" s="3">
        <f t="shared" si="3"/>
        <v>0</v>
      </c>
      <c r="L28" s="1">
        <f t="shared" si="4"/>
        <v>-7.5188679245283012</v>
      </c>
      <c r="M28" s="1">
        <f t="shared" si="5"/>
        <v>-3472.3661590856427</v>
      </c>
      <c r="N28" s="1">
        <f t="shared" si="6"/>
        <v>-0.58301886792453672</v>
      </c>
      <c r="O28" s="2">
        <f t="shared" si="7"/>
        <v>-3.7510223249220515E-2</v>
      </c>
      <c r="P28" s="1">
        <f t="shared" si="8"/>
        <v>-4.1698113207547172</v>
      </c>
      <c r="Q28" s="1">
        <f t="shared" si="9"/>
        <v>7.1915094339622652</v>
      </c>
      <c r="R28" s="1">
        <f t="shared" si="10"/>
        <v>-1.3981132075471703</v>
      </c>
      <c r="S28" s="1">
        <f t="shared" si="11"/>
        <v>-0.28301886792452829</v>
      </c>
      <c r="U28" s="1">
        <f t="shared" si="12"/>
        <v>56.533374866500523</v>
      </c>
      <c r="V28" s="1">
        <f t="shared" si="13"/>
        <v>12057326.742763178</v>
      </c>
      <c r="W28" s="1">
        <f t="shared" si="14"/>
        <v>0.33991100035600841</v>
      </c>
      <c r="X28" s="1">
        <f t="shared" si="15"/>
        <v>1.4070168482063633E-3</v>
      </c>
      <c r="Y28" s="1">
        <f t="shared" si="16"/>
        <v>17.3873264506942</v>
      </c>
      <c r="Z28" s="1">
        <f t="shared" si="17"/>
        <v>51.71780793876826</v>
      </c>
      <c r="AA28" s="1">
        <f t="shared" si="18"/>
        <v>1.9547205411178368</v>
      </c>
      <c r="AB28" s="1">
        <f t="shared" si="19"/>
        <v>8.0099679601281587E-2</v>
      </c>
    </row>
    <row r="29" spans="2:28" x14ac:dyDescent="0.3">
      <c r="B29" s="1">
        <v>0.8</v>
      </c>
      <c r="C29" s="1">
        <v>3</v>
      </c>
      <c r="D29" s="1">
        <f t="shared" si="1"/>
        <v>18132.455392064454</v>
      </c>
      <c r="E29" s="1">
        <v>42.5</v>
      </c>
      <c r="F29" s="2">
        <f t="shared" si="2"/>
        <v>0.45348877693296663</v>
      </c>
      <c r="G29" s="1">
        <v>1</v>
      </c>
      <c r="H29" s="1">
        <v>3.9</v>
      </c>
      <c r="I29" s="1">
        <v>12.3</v>
      </c>
      <c r="J29" s="3">
        <f t="shared" si="3"/>
        <v>1</v>
      </c>
      <c r="L29" s="1">
        <f t="shared" si="4"/>
        <v>-17.518867924528301</v>
      </c>
      <c r="M29" s="1">
        <f t="shared" si="5"/>
        <v>5614.065295384542</v>
      </c>
      <c r="N29" s="1">
        <f t="shared" si="6"/>
        <v>0.91698113207546328</v>
      </c>
      <c r="O29" s="2">
        <f t="shared" si="7"/>
        <v>0.34699662417820759</v>
      </c>
      <c r="P29" s="1">
        <f t="shared" si="8"/>
        <v>-4.1698113207547172</v>
      </c>
      <c r="Q29" s="1">
        <f t="shared" si="9"/>
        <v>-3.9084905660377349</v>
      </c>
      <c r="R29" s="1">
        <f t="shared" si="10"/>
        <v>9.2018867924528305</v>
      </c>
      <c r="S29" s="1">
        <f t="shared" si="11"/>
        <v>0.71698113207547176</v>
      </c>
      <c r="U29" s="1">
        <f t="shared" si="12"/>
        <v>306.91073335706653</v>
      </c>
      <c r="V29" s="1">
        <f t="shared" si="13"/>
        <v>31517729.140841123</v>
      </c>
      <c r="W29" s="1">
        <f t="shared" si="14"/>
        <v>0.84085439658239824</v>
      </c>
      <c r="X29" s="1">
        <f t="shared" si="15"/>
        <v>0.12040665719107224</v>
      </c>
      <c r="Y29" s="1">
        <f t="shared" si="16"/>
        <v>17.3873264506942</v>
      </c>
      <c r="Z29" s="1">
        <f t="shared" si="17"/>
        <v>15.276298504805974</v>
      </c>
      <c r="AA29" s="1">
        <f t="shared" si="18"/>
        <v>84.674720541117836</v>
      </c>
      <c r="AB29" s="1">
        <f t="shared" si="19"/>
        <v>0.51406194375222514</v>
      </c>
    </row>
    <row r="30" spans="2:28" x14ac:dyDescent="0.3">
      <c r="B30" s="1">
        <v>1.6</v>
      </c>
      <c r="C30" s="1">
        <v>8</v>
      </c>
      <c r="D30" s="1">
        <f t="shared" si="1"/>
        <v>12665.619445800039</v>
      </c>
      <c r="E30" s="1">
        <v>39.799999999999997</v>
      </c>
      <c r="F30" s="2">
        <f t="shared" si="2"/>
        <v>8.2448031239166428E-2</v>
      </c>
      <c r="G30" s="1">
        <v>0</v>
      </c>
      <c r="H30" s="1">
        <v>17.399999999999999</v>
      </c>
      <c r="I30" s="1">
        <v>1.1000000000000001</v>
      </c>
      <c r="J30" s="3">
        <f t="shared" si="3"/>
        <v>0</v>
      </c>
      <c r="L30" s="1">
        <f t="shared" si="4"/>
        <v>-12.518867924528301</v>
      </c>
      <c r="M30" s="1">
        <f t="shared" si="5"/>
        <v>147.22934912012715</v>
      </c>
      <c r="N30" s="1">
        <f t="shared" si="6"/>
        <v>-1.7830188679245396</v>
      </c>
      <c r="O30" s="2">
        <f t="shared" si="7"/>
        <v>-2.4044121515592598E-2</v>
      </c>
      <c r="P30" s="1">
        <f t="shared" si="8"/>
        <v>-5.1698113207547172</v>
      </c>
      <c r="Q30" s="1">
        <f t="shared" si="9"/>
        <v>9.5915094339622637</v>
      </c>
      <c r="R30" s="1">
        <f t="shared" si="10"/>
        <v>-1.9981132075471701</v>
      </c>
      <c r="S30" s="1">
        <f t="shared" si="11"/>
        <v>-0.28301886792452829</v>
      </c>
      <c r="U30" s="1">
        <f t="shared" si="12"/>
        <v>156.72205411178354</v>
      </c>
      <c r="V30" s="1">
        <f t="shared" si="13"/>
        <v>21676.481242336286</v>
      </c>
      <c r="W30" s="1">
        <f t="shared" si="14"/>
        <v>3.1791562833749065</v>
      </c>
      <c r="X30" s="1">
        <f t="shared" si="15"/>
        <v>5.7811977945658292E-4</v>
      </c>
      <c r="Y30" s="1">
        <f t="shared" si="16"/>
        <v>26.726949092203633</v>
      </c>
      <c r="Z30" s="1">
        <f t="shared" si="17"/>
        <v>91.997053221787098</v>
      </c>
      <c r="AA30" s="1">
        <f t="shared" si="18"/>
        <v>3.9924563901744405</v>
      </c>
      <c r="AB30" s="1">
        <f t="shared" si="19"/>
        <v>8.0099679601281587E-2</v>
      </c>
    </row>
    <row r="31" spans="2:28" x14ac:dyDescent="0.3">
      <c r="B31" s="1">
        <v>4.5</v>
      </c>
      <c r="C31" s="1">
        <v>78</v>
      </c>
      <c r="D31" s="1">
        <f t="shared" si="1"/>
        <v>3600.9425787297532</v>
      </c>
      <c r="E31" s="1">
        <v>40.9</v>
      </c>
      <c r="F31" s="2">
        <f t="shared" si="2"/>
        <v>7.468267256606706E-2</v>
      </c>
      <c r="G31" s="1">
        <v>4</v>
      </c>
      <c r="H31" s="1">
        <v>3.5</v>
      </c>
      <c r="I31" s="1">
        <v>0.3</v>
      </c>
      <c r="J31" s="3">
        <f t="shared" si="3"/>
        <v>1</v>
      </c>
      <c r="L31" s="1">
        <f t="shared" si="4"/>
        <v>57.481132075471699</v>
      </c>
      <c r="M31" s="1">
        <f t="shared" si="5"/>
        <v>-8917.4475179501587</v>
      </c>
      <c r="N31" s="1">
        <f t="shared" si="6"/>
        <v>-0.68301886792453814</v>
      </c>
      <c r="O31" s="2">
        <f t="shared" si="7"/>
        <v>-3.1809480188691966E-2</v>
      </c>
      <c r="P31" s="1">
        <f t="shared" si="8"/>
        <v>-1.1698113207547172</v>
      </c>
      <c r="Q31" s="1">
        <f t="shared" si="9"/>
        <v>-4.3084905660377348</v>
      </c>
      <c r="R31" s="1">
        <f t="shared" si="10"/>
        <v>-2.7981132075471704</v>
      </c>
      <c r="S31" s="1">
        <f t="shared" si="11"/>
        <v>0.71698113207547176</v>
      </c>
      <c r="U31" s="1">
        <f t="shared" si="12"/>
        <v>3304.0805446778213</v>
      </c>
      <c r="V31" s="1">
        <f t="shared" si="13"/>
        <v>79520870.235395446</v>
      </c>
      <c r="W31" s="1">
        <f t="shared" si="14"/>
        <v>0.46651477394091767</v>
      </c>
      <c r="X31" s="1">
        <f t="shared" si="15"/>
        <v>1.0118430298747866E-3</v>
      </c>
      <c r="Y31" s="1">
        <f t="shared" si="16"/>
        <v>1.3684585261658957</v>
      </c>
      <c r="Z31" s="1">
        <f t="shared" si="17"/>
        <v>18.56309095763616</v>
      </c>
      <c r="AA31" s="1">
        <f t="shared" si="18"/>
        <v>7.829437522249914</v>
      </c>
      <c r="AB31" s="1">
        <f t="shared" si="19"/>
        <v>0.51406194375222514</v>
      </c>
    </row>
    <row r="32" spans="2:28" x14ac:dyDescent="0.3">
      <c r="B32" s="1">
        <v>1.5</v>
      </c>
      <c r="C32" s="1">
        <v>5</v>
      </c>
      <c r="D32" s="1">
        <f t="shared" si="1"/>
        <v>14058.710432232545</v>
      </c>
      <c r="E32" s="1">
        <v>45.4</v>
      </c>
      <c r="F32" s="2">
        <f t="shared" si="2"/>
        <v>5.3589693435286911E-2</v>
      </c>
      <c r="G32" s="1">
        <v>2</v>
      </c>
      <c r="H32" s="1">
        <v>7.5</v>
      </c>
      <c r="I32" s="1">
        <v>5.5</v>
      </c>
      <c r="J32" s="3">
        <f t="shared" si="3"/>
        <v>0</v>
      </c>
      <c r="L32" s="1">
        <f t="shared" si="4"/>
        <v>-15.518867924528301</v>
      </c>
      <c r="M32" s="1">
        <f t="shared" si="5"/>
        <v>1540.320335552633</v>
      </c>
      <c r="N32" s="1">
        <f t="shared" si="6"/>
        <v>3.8169811320754619</v>
      </c>
      <c r="O32" s="2">
        <f t="shared" si="7"/>
        <v>-5.2902459319472114E-2</v>
      </c>
      <c r="P32" s="1">
        <f t="shared" si="8"/>
        <v>-3.1698113207547172</v>
      </c>
      <c r="Q32" s="1">
        <f t="shared" si="9"/>
        <v>-0.30849056603773484</v>
      </c>
      <c r="R32" s="1">
        <f t="shared" si="10"/>
        <v>2.4018867924528298</v>
      </c>
      <c r="S32" s="1">
        <f t="shared" si="11"/>
        <v>-0.28301886792452829</v>
      </c>
      <c r="U32" s="1">
        <f t="shared" si="12"/>
        <v>240.83526165895336</v>
      </c>
      <c r="V32" s="1">
        <f t="shared" si="13"/>
        <v>2372586.736116976</v>
      </c>
      <c r="W32" s="1">
        <f t="shared" si="14"/>
        <v>14.569344962620075</v>
      </c>
      <c r="X32" s="1">
        <f t="shared" si="15"/>
        <v>2.7986702020484019E-3</v>
      </c>
      <c r="Y32" s="1">
        <f t="shared" si="16"/>
        <v>10.047703809184764</v>
      </c>
      <c r="Z32" s="1">
        <f t="shared" si="17"/>
        <v>9.5166429334282043E-2</v>
      </c>
      <c r="AA32" s="1">
        <f t="shared" si="18"/>
        <v>5.7690601637593426</v>
      </c>
      <c r="AB32" s="1">
        <f t="shared" si="19"/>
        <v>8.0099679601281587E-2</v>
      </c>
    </row>
    <row r="33" spans="2:28" x14ac:dyDescent="0.3">
      <c r="B33" s="1">
        <v>1.7</v>
      </c>
      <c r="C33" s="1">
        <v>4</v>
      </c>
      <c r="D33" s="1">
        <f t="shared" si="1"/>
        <v>24288.633234821576</v>
      </c>
      <c r="E33" s="1">
        <v>47.1</v>
      </c>
      <c r="F33" s="2">
        <f t="shared" si="2"/>
        <v>0.117399220538234</v>
      </c>
      <c r="G33" s="1">
        <v>1</v>
      </c>
      <c r="H33" s="1">
        <v>5.6</v>
      </c>
      <c r="I33" s="1">
        <v>2.9</v>
      </c>
      <c r="J33" s="3">
        <f t="shared" si="3"/>
        <v>0</v>
      </c>
      <c r="L33" s="1">
        <f t="shared" si="4"/>
        <v>-16.518867924528301</v>
      </c>
      <c r="M33" s="1">
        <f t="shared" si="5"/>
        <v>11770.243138141665</v>
      </c>
      <c r="N33" s="1">
        <f t="shared" si="6"/>
        <v>5.5169811320754647</v>
      </c>
      <c r="O33" s="2">
        <f t="shared" si="7"/>
        <v>1.0907067783474972E-2</v>
      </c>
      <c r="P33" s="1">
        <f t="shared" si="8"/>
        <v>-4.1698113207547172</v>
      </c>
      <c r="Q33" s="1">
        <f t="shared" si="9"/>
        <v>-2.2084905660377352</v>
      </c>
      <c r="R33" s="1">
        <f t="shared" si="10"/>
        <v>-0.19811320754717032</v>
      </c>
      <c r="S33" s="1">
        <f t="shared" si="11"/>
        <v>-0.28301886792452829</v>
      </c>
      <c r="U33" s="1">
        <f t="shared" si="12"/>
        <v>272.87299750800997</v>
      </c>
      <c r="V33" s="1">
        <f t="shared" si="13"/>
        <v>138538623.53097093</v>
      </c>
      <c r="W33" s="1">
        <f t="shared" si="14"/>
        <v>30.437080811676676</v>
      </c>
      <c r="X33" s="1">
        <f t="shared" si="15"/>
        <v>1.1896412763331763E-4</v>
      </c>
      <c r="Y33" s="1">
        <f t="shared" si="16"/>
        <v>17.3873264506942</v>
      </c>
      <c r="Z33" s="1">
        <f t="shared" si="17"/>
        <v>4.8774305802776761</v>
      </c>
      <c r="AA33" s="1">
        <f t="shared" si="18"/>
        <v>3.9248843004628185E-2</v>
      </c>
      <c r="AB33" s="1">
        <f t="shared" si="19"/>
        <v>8.0099679601281587E-2</v>
      </c>
    </row>
    <row r="34" spans="2:28" x14ac:dyDescent="0.3">
      <c r="B34" s="1">
        <v>2.8</v>
      </c>
      <c r="C34" s="1">
        <v>56</v>
      </c>
      <c r="D34" s="1">
        <f t="shared" si="1"/>
        <v>3017.8744939271255</v>
      </c>
      <c r="E34" s="1">
        <v>27.7</v>
      </c>
      <c r="F34" s="2">
        <f t="shared" si="2"/>
        <v>1.0121457489878543E-2</v>
      </c>
      <c r="G34" s="1">
        <v>33</v>
      </c>
      <c r="H34" s="1">
        <v>28.4</v>
      </c>
      <c r="I34" s="1">
        <v>1.4</v>
      </c>
      <c r="J34" s="3">
        <f t="shared" si="3"/>
        <v>0</v>
      </c>
      <c r="L34" s="1">
        <f t="shared" si="4"/>
        <v>35.481132075471699</v>
      </c>
      <c r="M34" s="1">
        <f t="shared" si="5"/>
        <v>-9500.5156027527864</v>
      </c>
      <c r="N34" s="1">
        <f t="shared" si="6"/>
        <v>-13.883018867924537</v>
      </c>
      <c r="O34" s="2">
        <f t="shared" si="7"/>
        <v>-9.6370695264880485E-2</v>
      </c>
      <c r="P34" s="1">
        <f t="shared" si="8"/>
        <v>27.830188679245282</v>
      </c>
      <c r="Q34" s="1">
        <f t="shared" si="9"/>
        <v>20.591509433962266</v>
      </c>
      <c r="R34" s="1">
        <f t="shared" si="10"/>
        <v>-1.6981132075471703</v>
      </c>
      <c r="S34" s="1">
        <f t="shared" si="11"/>
        <v>-0.28301886792452829</v>
      </c>
      <c r="U34" s="1">
        <f t="shared" si="12"/>
        <v>1258.9107333570666</v>
      </c>
      <c r="V34" s="1">
        <f t="shared" si="13"/>
        <v>90259796.71814914</v>
      </c>
      <c r="W34" s="1">
        <f t="shared" si="14"/>
        <v>192.73821288714871</v>
      </c>
      <c r="X34" s="1">
        <f t="shared" si="15"/>
        <v>9.2873109058364579E-3</v>
      </c>
      <c r="Y34" s="1">
        <f t="shared" si="16"/>
        <v>774.51940192239226</v>
      </c>
      <c r="Z34" s="1">
        <f t="shared" si="17"/>
        <v>424.01026076895698</v>
      </c>
      <c r="AA34" s="1">
        <f t="shared" si="18"/>
        <v>2.883588465646139</v>
      </c>
      <c r="AB34" s="1">
        <f t="shared" si="19"/>
        <v>8.0099679601281587E-2</v>
      </c>
    </row>
    <row r="35" spans="2:28" x14ac:dyDescent="0.3">
      <c r="B35" s="1">
        <v>3</v>
      </c>
      <c r="C35" s="1">
        <v>20</v>
      </c>
      <c r="D35" s="1">
        <f t="shared" si="1"/>
        <v>11599.283951465628</v>
      </c>
      <c r="E35" s="1">
        <v>18.600000000000001</v>
      </c>
      <c r="F35" s="2">
        <f t="shared" si="2"/>
        <v>9.7718847319421537E-5</v>
      </c>
      <c r="G35" s="1">
        <v>1</v>
      </c>
      <c r="H35" s="1">
        <v>9.1999999999999993</v>
      </c>
      <c r="I35" s="1">
        <v>1.4</v>
      </c>
      <c r="J35" s="3">
        <f t="shared" si="3"/>
        <v>0</v>
      </c>
      <c r="L35" s="1">
        <f t="shared" si="4"/>
        <v>-0.51886792452830122</v>
      </c>
      <c r="M35" s="1">
        <f t="shared" si="5"/>
        <v>-919.10614521428397</v>
      </c>
      <c r="N35" s="1">
        <f t="shared" si="6"/>
        <v>-22.983018867924535</v>
      </c>
      <c r="O35" s="2">
        <f t="shared" si="7"/>
        <v>-0.10639443390743961</v>
      </c>
      <c r="P35" s="1">
        <f t="shared" si="8"/>
        <v>-4.1698113207547172</v>
      </c>
      <c r="Q35" s="1">
        <f t="shared" si="9"/>
        <v>1.3915094339622645</v>
      </c>
      <c r="R35" s="1">
        <f t="shared" si="10"/>
        <v>-1.6981132075471703</v>
      </c>
      <c r="S35" s="1">
        <f t="shared" si="11"/>
        <v>-0.28301886792452829</v>
      </c>
      <c r="U35" s="1">
        <f t="shared" si="12"/>
        <v>0.26922392310430687</v>
      </c>
      <c r="V35" s="1">
        <f t="shared" si="13"/>
        <v>844756.10617066047</v>
      </c>
      <c r="W35" s="1">
        <f t="shared" si="14"/>
        <v>528.21915628337524</v>
      </c>
      <c r="X35" s="1">
        <f t="shared" si="15"/>
        <v>1.1319775566484535E-2</v>
      </c>
      <c r="Y35" s="1">
        <f t="shared" si="16"/>
        <v>17.3873264506942</v>
      </c>
      <c r="Z35" s="1">
        <f t="shared" si="17"/>
        <v>1.9362985048059815</v>
      </c>
      <c r="AA35" s="1">
        <f t="shared" si="18"/>
        <v>2.883588465646139</v>
      </c>
      <c r="AB35" s="1">
        <f t="shared" si="19"/>
        <v>8.0099679601281587E-2</v>
      </c>
    </row>
    <row r="36" spans="2:28" x14ac:dyDescent="0.3">
      <c r="B36" s="1">
        <v>1.5</v>
      </c>
      <c r="C36" s="1">
        <v>7</v>
      </c>
      <c r="D36" s="1">
        <f t="shared" si="1"/>
        <v>19616.193558158709</v>
      </c>
      <c r="E36" s="1">
        <v>16.399999999999999</v>
      </c>
      <c r="F36" s="2">
        <f t="shared" si="2"/>
        <v>1.0110812482647318E-2</v>
      </c>
      <c r="G36" s="1">
        <v>0</v>
      </c>
      <c r="H36" s="1">
        <v>3.2</v>
      </c>
      <c r="I36" s="1">
        <v>1.4</v>
      </c>
      <c r="J36" s="3">
        <f t="shared" si="3"/>
        <v>1</v>
      </c>
      <c r="L36" s="1">
        <f t="shared" si="4"/>
        <v>-13.518867924528301</v>
      </c>
      <c r="M36" s="1">
        <f t="shared" si="5"/>
        <v>7097.8034614787975</v>
      </c>
      <c r="N36" s="1">
        <f t="shared" si="6"/>
        <v>-25.183018867924538</v>
      </c>
      <c r="O36" s="2">
        <f t="shared" si="7"/>
        <v>-9.6381340272111704E-2</v>
      </c>
      <c r="P36" s="1">
        <f t="shared" si="8"/>
        <v>-5.1698113207547172</v>
      </c>
      <c r="Q36" s="1">
        <f t="shared" si="9"/>
        <v>-4.6084905660377347</v>
      </c>
      <c r="R36" s="1">
        <f t="shared" si="10"/>
        <v>-1.6981132075471703</v>
      </c>
      <c r="S36" s="1">
        <f t="shared" si="11"/>
        <v>0.71698113207547176</v>
      </c>
      <c r="U36" s="1">
        <f t="shared" si="12"/>
        <v>182.75978996084015</v>
      </c>
      <c r="V36" s="1">
        <f t="shared" si="13"/>
        <v>50378813.977780402</v>
      </c>
      <c r="W36" s="1">
        <f t="shared" si="14"/>
        <v>634.18443930224328</v>
      </c>
      <c r="X36" s="1">
        <f t="shared" si="15"/>
        <v>9.2893627526485813E-3</v>
      </c>
      <c r="Y36" s="1">
        <f t="shared" si="16"/>
        <v>26.726949092203633</v>
      </c>
      <c r="Z36" s="1">
        <f t="shared" si="17"/>
        <v>21.238185297258799</v>
      </c>
      <c r="AA36" s="1">
        <f t="shared" si="18"/>
        <v>2.883588465646139</v>
      </c>
      <c r="AB36" s="1">
        <f t="shared" si="19"/>
        <v>0.51406194375222514</v>
      </c>
    </row>
    <row r="37" spans="2:28" x14ac:dyDescent="0.3">
      <c r="B37" s="1">
        <v>2.1</v>
      </c>
      <c r="C37" s="1">
        <v>13</v>
      </c>
      <c r="D37" s="1">
        <f t="shared" si="1"/>
        <v>6147.2866318949091</v>
      </c>
      <c r="E37" s="1">
        <v>40.5</v>
      </c>
      <c r="F37" s="2">
        <f t="shared" si="2"/>
        <v>5.2145167157568069E-2</v>
      </c>
      <c r="G37" s="1">
        <v>1</v>
      </c>
      <c r="H37" s="1">
        <v>6.1</v>
      </c>
      <c r="I37" s="1">
        <v>1.4</v>
      </c>
      <c r="J37" s="3">
        <f t="shared" si="3"/>
        <v>0</v>
      </c>
      <c r="L37" s="1">
        <f t="shared" si="4"/>
        <v>-7.5188679245283012</v>
      </c>
      <c r="M37" s="1">
        <f t="shared" si="5"/>
        <v>-6371.1034647850029</v>
      </c>
      <c r="N37" s="1">
        <f t="shared" si="6"/>
        <v>-1.0830188679245367</v>
      </c>
      <c r="O37" s="2">
        <f t="shared" si="7"/>
        <v>-5.4346985597190957E-2</v>
      </c>
      <c r="P37" s="1">
        <f t="shared" si="8"/>
        <v>-4.1698113207547172</v>
      </c>
      <c r="Q37" s="1">
        <f t="shared" si="9"/>
        <v>-1.7084905660377352</v>
      </c>
      <c r="R37" s="1">
        <f t="shared" si="10"/>
        <v>-1.6981132075471703</v>
      </c>
      <c r="S37" s="1">
        <f t="shared" si="11"/>
        <v>-0.28301886792452829</v>
      </c>
      <c r="U37" s="1">
        <f t="shared" si="12"/>
        <v>56.533374866500523</v>
      </c>
      <c r="V37" s="1">
        <f t="shared" si="13"/>
        <v>40590959.358995467</v>
      </c>
      <c r="W37" s="1">
        <f t="shared" si="14"/>
        <v>1.1729298682805451</v>
      </c>
      <c r="X37" s="1">
        <f t="shared" si="15"/>
        <v>2.9535948435012813E-3</v>
      </c>
      <c r="Y37" s="1">
        <f t="shared" si="16"/>
        <v>17.3873264506942</v>
      </c>
      <c r="Z37" s="1">
        <f t="shared" si="17"/>
        <v>2.9189400142399409</v>
      </c>
      <c r="AA37" s="1">
        <f t="shared" si="18"/>
        <v>2.883588465646139</v>
      </c>
      <c r="AB37" s="1">
        <f t="shared" si="19"/>
        <v>8.0099679601281587E-2</v>
      </c>
    </row>
    <row r="38" spans="2:28" x14ac:dyDescent="0.3">
      <c r="B38" s="1">
        <v>1.2</v>
      </c>
      <c r="C38" s="1">
        <v>3</v>
      </c>
      <c r="D38" s="1">
        <f t="shared" si="1"/>
        <v>18904.456780866331</v>
      </c>
      <c r="E38" s="1">
        <v>46.8</v>
      </c>
      <c r="F38" s="2">
        <f t="shared" si="2"/>
        <v>0.21794563969483505</v>
      </c>
      <c r="G38" s="1">
        <v>2</v>
      </c>
      <c r="H38" s="1">
        <v>15.5</v>
      </c>
      <c r="I38" s="1">
        <v>3</v>
      </c>
      <c r="J38" s="3">
        <f t="shared" si="3"/>
        <v>0</v>
      </c>
      <c r="L38" s="1">
        <f t="shared" si="4"/>
        <v>-17.518867924528301</v>
      </c>
      <c r="M38" s="1">
        <f t="shared" si="5"/>
        <v>6386.0666841864186</v>
      </c>
      <c r="N38" s="1">
        <f t="shared" si="6"/>
        <v>5.2169811320754604</v>
      </c>
      <c r="O38" s="2">
        <f t="shared" si="7"/>
        <v>0.11145348694007602</v>
      </c>
      <c r="P38" s="1">
        <f t="shared" si="8"/>
        <v>-3.1698113207547172</v>
      </c>
      <c r="Q38" s="1">
        <f t="shared" si="9"/>
        <v>7.6915094339622652</v>
      </c>
      <c r="R38" s="1">
        <f t="shared" si="10"/>
        <v>-9.8113207547170234E-2</v>
      </c>
      <c r="S38" s="1">
        <f t="shared" si="11"/>
        <v>-0.28301886792452829</v>
      </c>
      <c r="U38" s="1">
        <f t="shared" si="12"/>
        <v>306.91073335706653</v>
      </c>
      <c r="V38" s="1">
        <f t="shared" si="13"/>
        <v>40781847.694875717</v>
      </c>
      <c r="W38" s="1">
        <f t="shared" si="14"/>
        <v>27.216892132431354</v>
      </c>
      <c r="X38" s="1">
        <f t="shared" si="15"/>
        <v>1.2421879751101697E-2</v>
      </c>
      <c r="Y38" s="1">
        <f t="shared" si="16"/>
        <v>10.047703809184764</v>
      </c>
      <c r="Z38" s="1">
        <f t="shared" si="17"/>
        <v>59.159317372730527</v>
      </c>
      <c r="AA38" s="1">
        <f t="shared" si="18"/>
        <v>9.6262014951941019E-3</v>
      </c>
      <c r="AB38" s="1">
        <f t="shared" si="19"/>
        <v>8.0099679601281587E-2</v>
      </c>
    </row>
    <row r="39" spans="2:28" x14ac:dyDescent="0.3">
      <c r="B39" s="1">
        <v>1.6</v>
      </c>
      <c r="C39" s="1">
        <v>2</v>
      </c>
      <c r="D39" s="1">
        <f t="shared" si="1"/>
        <v>19234.954222843724</v>
      </c>
      <c r="E39" s="1">
        <v>48.3</v>
      </c>
      <c r="F39" s="2">
        <f t="shared" si="2"/>
        <v>0.58045961847972349</v>
      </c>
      <c r="G39" s="1">
        <v>2</v>
      </c>
      <c r="H39" s="1">
        <v>6.8</v>
      </c>
      <c r="I39" s="1">
        <v>4.7</v>
      </c>
      <c r="J39" s="3">
        <f t="shared" si="3"/>
        <v>0</v>
      </c>
      <c r="L39" s="1">
        <f t="shared" si="4"/>
        <v>-18.518867924528301</v>
      </c>
      <c r="M39" s="1">
        <f t="shared" si="5"/>
        <v>6716.564126163812</v>
      </c>
      <c r="N39" s="1">
        <f t="shared" si="6"/>
        <v>6.7169811320754604</v>
      </c>
      <c r="O39" s="2">
        <f t="shared" si="7"/>
        <v>0.47396746572496445</v>
      </c>
      <c r="P39" s="1">
        <f t="shared" si="8"/>
        <v>-3.1698113207547172</v>
      </c>
      <c r="Q39" s="1">
        <f t="shared" si="9"/>
        <v>-1.008490566037735</v>
      </c>
      <c r="R39" s="1">
        <f t="shared" si="10"/>
        <v>1.6018867924528299</v>
      </c>
      <c r="S39" s="1">
        <f t="shared" si="11"/>
        <v>-0.28301886792452829</v>
      </c>
      <c r="U39" s="1">
        <f t="shared" si="12"/>
        <v>342.94846920612315</v>
      </c>
      <c r="V39" s="1">
        <f t="shared" si="13"/>
        <v>45112233.660870649</v>
      </c>
      <c r="W39" s="1">
        <f t="shared" si="14"/>
        <v>45.117835528657736</v>
      </c>
      <c r="X39" s="1">
        <f t="shared" si="15"/>
        <v>0.22464515856574535</v>
      </c>
      <c r="Y39" s="1">
        <f t="shared" si="16"/>
        <v>10.047703809184764</v>
      </c>
      <c r="Z39" s="1">
        <f t="shared" si="17"/>
        <v>1.0170532217871111</v>
      </c>
      <c r="AA39" s="1">
        <f t="shared" si="18"/>
        <v>2.566041295834816</v>
      </c>
      <c r="AB39" s="1">
        <f t="shared" si="19"/>
        <v>8.0099679601281587E-2</v>
      </c>
    </row>
    <row r="40" spans="2:28" x14ac:dyDescent="0.3">
      <c r="B40" s="1">
        <v>1.6</v>
      </c>
      <c r="C40" s="1">
        <v>6</v>
      </c>
      <c r="D40" s="1">
        <f t="shared" si="1"/>
        <v>42439.43351378174</v>
      </c>
      <c r="E40" s="1">
        <v>46.2</v>
      </c>
      <c r="F40" s="2">
        <f t="shared" si="2"/>
        <v>0.18824622646300196</v>
      </c>
      <c r="G40" s="1">
        <v>2</v>
      </c>
      <c r="H40" s="1">
        <v>8.1</v>
      </c>
      <c r="I40" s="1">
        <v>2.6</v>
      </c>
      <c r="J40" s="3">
        <f t="shared" si="3"/>
        <v>0</v>
      </c>
      <c r="L40" s="1">
        <f t="shared" si="4"/>
        <v>-14.518867924528301</v>
      </c>
      <c r="M40" s="1">
        <f t="shared" si="5"/>
        <v>29921.043417101828</v>
      </c>
      <c r="N40" s="1">
        <f t="shared" si="6"/>
        <v>4.6169811320754661</v>
      </c>
      <c r="O40" s="2">
        <f t="shared" si="7"/>
        <v>8.1754073708242933E-2</v>
      </c>
      <c r="P40" s="1">
        <f t="shared" si="8"/>
        <v>-3.1698113207547172</v>
      </c>
      <c r="Q40" s="1">
        <f t="shared" si="9"/>
        <v>0.29150943396226481</v>
      </c>
      <c r="R40" s="1">
        <f t="shared" si="10"/>
        <v>-0.49811320754717014</v>
      </c>
      <c r="S40" s="1">
        <f t="shared" si="11"/>
        <v>-0.28301886792452829</v>
      </c>
      <c r="U40" s="1">
        <f t="shared" si="12"/>
        <v>210.79752580989674</v>
      </c>
      <c r="V40" s="1">
        <f t="shared" si="13"/>
        <v>895268839.16809261</v>
      </c>
      <c r="W40" s="1">
        <f t="shared" si="14"/>
        <v>21.316514773940852</v>
      </c>
      <c r="X40" s="1">
        <f t="shared" si="15"/>
        <v>6.6837285678928186E-3</v>
      </c>
      <c r="Y40" s="1">
        <f t="shared" si="16"/>
        <v>10.047703809184764</v>
      </c>
      <c r="Z40" s="1">
        <f t="shared" si="17"/>
        <v>8.497775008900002E-2</v>
      </c>
      <c r="AA40" s="1">
        <f t="shared" si="18"/>
        <v>0.24811676753293019</v>
      </c>
      <c r="AB40" s="1">
        <f t="shared" si="19"/>
        <v>8.0099679601281587E-2</v>
      </c>
    </row>
    <row r="41" spans="2:28" x14ac:dyDescent="0.3">
      <c r="B41" s="1">
        <v>4.2</v>
      </c>
      <c r="C41" s="1">
        <v>49</v>
      </c>
      <c r="D41" s="1">
        <f t="shared" si="1"/>
        <v>1610.4026781070891</v>
      </c>
      <c r="E41" s="1">
        <v>46</v>
      </c>
      <c r="F41" s="2">
        <f t="shared" si="2"/>
        <v>5.2190437897606332E-4</v>
      </c>
      <c r="G41" s="1">
        <v>13</v>
      </c>
      <c r="H41" s="1">
        <v>3.2</v>
      </c>
      <c r="I41" s="1">
        <v>0.3</v>
      </c>
      <c r="J41" s="3">
        <f t="shared" si="3"/>
        <v>1</v>
      </c>
      <c r="L41" s="1">
        <f t="shared" si="4"/>
        <v>28.481132075471699</v>
      </c>
      <c r="M41" s="1">
        <f t="shared" si="5"/>
        <v>-10907.987418572822</v>
      </c>
      <c r="N41" s="1">
        <f t="shared" si="6"/>
        <v>4.4169811320754633</v>
      </c>
      <c r="O41" s="2">
        <f t="shared" si="7"/>
        <v>-0.10597024837578296</v>
      </c>
      <c r="P41" s="1">
        <f t="shared" si="8"/>
        <v>7.8301886792452828</v>
      </c>
      <c r="Q41" s="1">
        <f t="shared" si="9"/>
        <v>-4.6084905660377347</v>
      </c>
      <c r="R41" s="1">
        <f t="shared" si="10"/>
        <v>-2.7981132075471704</v>
      </c>
      <c r="S41" s="1">
        <f t="shared" si="11"/>
        <v>0.71698113207547176</v>
      </c>
      <c r="U41" s="1">
        <f t="shared" si="12"/>
        <v>811.17488430046285</v>
      </c>
      <c r="V41" s="1">
        <f t="shared" si="13"/>
        <v>118984189.52374299</v>
      </c>
      <c r="W41" s="1">
        <f t="shared" si="14"/>
        <v>19.50972232111064</v>
      </c>
      <c r="X41" s="1">
        <f t="shared" si="15"/>
        <v>1.1229693540825132E-2</v>
      </c>
      <c r="Y41" s="1">
        <f t="shared" si="16"/>
        <v>61.311854752580984</v>
      </c>
      <c r="Z41" s="1">
        <f t="shared" si="17"/>
        <v>21.238185297258799</v>
      </c>
      <c r="AA41" s="1">
        <f t="shared" si="18"/>
        <v>7.829437522249914</v>
      </c>
      <c r="AB41" s="1">
        <f t="shared" si="19"/>
        <v>0.51406194375222514</v>
      </c>
    </row>
    <row r="42" spans="2:28" x14ac:dyDescent="0.3">
      <c r="B42" s="1">
        <v>2.5</v>
      </c>
      <c r="C42" s="1">
        <v>27</v>
      </c>
      <c r="D42" s="1">
        <f t="shared" si="1"/>
        <v>7161.8225323360612</v>
      </c>
      <c r="E42" s="1">
        <v>33.5</v>
      </c>
      <c r="F42" s="2">
        <f t="shared" si="2"/>
        <v>1.1155174048603094E-2</v>
      </c>
      <c r="G42" s="1">
        <v>1</v>
      </c>
      <c r="H42" s="1">
        <v>4.7</v>
      </c>
      <c r="I42" s="1">
        <v>2</v>
      </c>
      <c r="J42" s="3">
        <f t="shared" si="3"/>
        <v>0</v>
      </c>
      <c r="L42" s="1">
        <f t="shared" si="4"/>
        <v>6.4811320754716988</v>
      </c>
      <c r="M42" s="1">
        <f t="shared" si="5"/>
        <v>-5356.5675643438508</v>
      </c>
      <c r="N42" s="1">
        <f t="shared" si="6"/>
        <v>-8.0830188679245367</v>
      </c>
      <c r="O42" s="2">
        <f t="shared" si="7"/>
        <v>-9.5336978706155928E-2</v>
      </c>
      <c r="P42" s="1">
        <f t="shared" si="8"/>
        <v>-4.1698113207547172</v>
      </c>
      <c r="Q42" s="1">
        <f t="shared" si="9"/>
        <v>-3.1084905660377347</v>
      </c>
      <c r="R42" s="1">
        <f t="shared" si="10"/>
        <v>-1.0981132075471702</v>
      </c>
      <c r="S42" s="1">
        <f t="shared" si="11"/>
        <v>-0.28301886792452829</v>
      </c>
      <c r="U42" s="1">
        <f t="shared" si="12"/>
        <v>42.005072979708089</v>
      </c>
      <c r="V42" s="1">
        <f t="shared" si="13"/>
        <v>28692816.071380615</v>
      </c>
      <c r="W42" s="1">
        <f t="shared" si="14"/>
        <v>65.335194019224062</v>
      </c>
      <c r="X42" s="1">
        <f t="shared" si="15"/>
        <v>9.0891395088180289E-3</v>
      </c>
      <c r="Y42" s="1">
        <f t="shared" si="16"/>
        <v>17.3873264506942</v>
      </c>
      <c r="Z42" s="1">
        <f t="shared" si="17"/>
        <v>9.6627135991455955</v>
      </c>
      <c r="AA42" s="1">
        <f t="shared" si="18"/>
        <v>1.2058526165895345</v>
      </c>
      <c r="AB42" s="1">
        <f t="shared" si="19"/>
        <v>8.0099679601281587E-2</v>
      </c>
    </row>
    <row r="43" spans="2:28" x14ac:dyDescent="0.3">
      <c r="B43" s="1">
        <v>1.4</v>
      </c>
      <c r="C43" s="1">
        <v>2</v>
      </c>
      <c r="D43" s="1">
        <f t="shared" si="1"/>
        <v>23737.887855729939</v>
      </c>
      <c r="E43" s="1">
        <v>47.7</v>
      </c>
      <c r="F43" s="2">
        <f t="shared" si="2"/>
        <v>0.20574943328664866</v>
      </c>
      <c r="G43" s="1">
        <v>2</v>
      </c>
      <c r="H43" s="1">
        <v>7.8</v>
      </c>
      <c r="I43" s="1">
        <v>3.3</v>
      </c>
      <c r="J43" s="3">
        <f t="shared" si="3"/>
        <v>0</v>
      </c>
      <c r="L43" s="1">
        <f t="shared" si="4"/>
        <v>-18.518867924528301</v>
      </c>
      <c r="M43" s="1">
        <f t="shared" si="5"/>
        <v>11219.497759050028</v>
      </c>
      <c r="N43" s="1">
        <f t="shared" si="6"/>
        <v>6.1169811320754661</v>
      </c>
      <c r="O43" s="2">
        <f t="shared" si="7"/>
        <v>9.9257280531889633E-2</v>
      </c>
      <c r="P43" s="1">
        <f t="shared" si="8"/>
        <v>-3.1698113207547172</v>
      </c>
      <c r="Q43" s="1">
        <f t="shared" si="9"/>
        <v>-8.4905660377350145E-3</v>
      </c>
      <c r="R43" s="1">
        <f t="shared" si="10"/>
        <v>0.20188679245282959</v>
      </c>
      <c r="S43" s="1">
        <f t="shared" si="11"/>
        <v>-0.28301886792452829</v>
      </c>
      <c r="U43" s="1">
        <f t="shared" si="12"/>
        <v>342.94846920612315</v>
      </c>
      <c r="V43" s="1">
        <f t="shared" si="13"/>
        <v>125877129.96532859</v>
      </c>
      <c r="W43" s="1">
        <f t="shared" si="14"/>
        <v>37.417458170167251</v>
      </c>
      <c r="X43" s="1">
        <f t="shared" si="15"/>
        <v>9.8520077385862367E-3</v>
      </c>
      <c r="Y43" s="1">
        <f t="shared" si="16"/>
        <v>10.047703809184764</v>
      </c>
      <c r="Z43" s="1">
        <f t="shared" si="17"/>
        <v>7.2089711641139267E-5</v>
      </c>
      <c r="AA43" s="1">
        <f t="shared" si="18"/>
        <v>4.0758276966891889E-2</v>
      </c>
      <c r="AB43" s="1">
        <f t="shared" si="19"/>
        <v>8.0099679601281587E-2</v>
      </c>
    </row>
    <row r="44" spans="2:28" x14ac:dyDescent="0.3">
      <c r="B44" s="1">
        <v>1.8</v>
      </c>
      <c r="C44" s="1">
        <v>4</v>
      </c>
      <c r="D44" s="1">
        <f t="shared" si="1"/>
        <v>22484.988116394961</v>
      </c>
      <c r="E44" s="1">
        <v>48.5</v>
      </c>
      <c r="F44" s="2">
        <f t="shared" si="2"/>
        <v>0.31539813199816102</v>
      </c>
      <c r="G44" s="1">
        <v>0</v>
      </c>
      <c r="H44" s="1">
        <v>8</v>
      </c>
      <c r="I44" s="1">
        <v>6</v>
      </c>
      <c r="J44" s="3">
        <f t="shared" si="3"/>
        <v>0</v>
      </c>
      <c r="L44" s="1">
        <f t="shared" si="4"/>
        <v>-16.518867924528301</v>
      </c>
      <c r="M44" s="1">
        <f t="shared" si="5"/>
        <v>9966.5980197150493</v>
      </c>
      <c r="N44" s="1">
        <f t="shared" si="6"/>
        <v>6.9169811320754633</v>
      </c>
      <c r="O44" s="2">
        <f t="shared" si="7"/>
        <v>0.20890597924340198</v>
      </c>
      <c r="P44" s="1">
        <f t="shared" si="8"/>
        <v>-5.1698113207547172</v>
      </c>
      <c r="Q44" s="1">
        <f t="shared" si="9"/>
        <v>0.19150943396226516</v>
      </c>
      <c r="R44" s="1">
        <f t="shared" si="10"/>
        <v>2.9018867924528298</v>
      </c>
      <c r="S44" s="1">
        <f t="shared" si="11"/>
        <v>-0.28301886792452829</v>
      </c>
      <c r="U44" s="1">
        <f t="shared" si="12"/>
        <v>272.87299750800997</v>
      </c>
      <c r="V44" s="1">
        <f t="shared" si="13"/>
        <v>99333076.086587936</v>
      </c>
      <c r="W44" s="1">
        <f t="shared" si="14"/>
        <v>47.84462798148796</v>
      </c>
      <c r="X44" s="1">
        <f t="shared" si="15"/>
        <v>4.3641708163644703E-2</v>
      </c>
      <c r="Y44" s="1">
        <f t="shared" si="16"/>
        <v>26.726949092203633</v>
      </c>
      <c r="Z44" s="1">
        <f t="shared" si="17"/>
        <v>3.66758632965472E-2</v>
      </c>
      <c r="AA44" s="1">
        <f t="shared" si="18"/>
        <v>8.4209469562121733</v>
      </c>
      <c r="AB44" s="1">
        <f t="shared" si="19"/>
        <v>8.0099679601281587E-2</v>
      </c>
    </row>
    <row r="45" spans="2:28" x14ac:dyDescent="0.3">
      <c r="B45" s="1">
        <v>3.5</v>
      </c>
      <c r="C45" s="1">
        <v>42</v>
      </c>
      <c r="D45" s="1">
        <f t="shared" si="1"/>
        <v>5064.9268960262098</v>
      </c>
      <c r="E45" s="1">
        <v>39.299999999999997</v>
      </c>
      <c r="F45" s="2">
        <f t="shared" si="2"/>
        <v>4.9421898573684007E-3</v>
      </c>
      <c r="G45" s="1">
        <v>23</v>
      </c>
      <c r="H45" s="1">
        <v>22</v>
      </c>
      <c r="I45" s="1">
        <v>6.3</v>
      </c>
      <c r="J45" s="3">
        <f t="shared" si="3"/>
        <v>0</v>
      </c>
      <c r="L45" s="1">
        <f t="shared" si="4"/>
        <v>21.481132075471699</v>
      </c>
      <c r="M45" s="1">
        <f t="shared" si="5"/>
        <v>-7453.4632006537022</v>
      </c>
      <c r="N45" s="1">
        <f t="shared" si="6"/>
        <v>-2.2830188679245396</v>
      </c>
      <c r="O45" s="2">
        <f t="shared" si="7"/>
        <v>-0.10154996289739063</v>
      </c>
      <c r="P45" s="1">
        <f t="shared" si="8"/>
        <v>17.830188679245282</v>
      </c>
      <c r="Q45" s="1">
        <f t="shared" si="9"/>
        <v>14.191509433962265</v>
      </c>
      <c r="R45" s="1">
        <f t="shared" si="10"/>
        <v>3.2018867924528296</v>
      </c>
      <c r="S45" s="1">
        <f t="shared" si="11"/>
        <v>-0.28301886792452829</v>
      </c>
      <c r="U45" s="1">
        <f t="shared" si="12"/>
        <v>461.43903524385905</v>
      </c>
      <c r="V45" s="1">
        <f t="shared" si="13"/>
        <v>55554113.683498934</v>
      </c>
      <c r="W45" s="1">
        <f t="shared" si="14"/>
        <v>5.2121751512994461</v>
      </c>
      <c r="X45" s="1">
        <f t="shared" si="15"/>
        <v>1.0312394964461413E-2</v>
      </c>
      <c r="Y45" s="1">
        <f t="shared" si="16"/>
        <v>317.91562833748662</v>
      </c>
      <c r="Z45" s="1">
        <f t="shared" si="17"/>
        <v>201.39894001423997</v>
      </c>
      <c r="AA45" s="1">
        <f t="shared" si="18"/>
        <v>10.25207903168387</v>
      </c>
      <c r="AB45" s="1">
        <f t="shared" si="19"/>
        <v>8.0099679601281587E-2</v>
      </c>
    </row>
    <row r="46" spans="2:28" x14ac:dyDescent="0.3">
      <c r="B46" s="1">
        <v>4.8</v>
      </c>
      <c r="C46" s="1">
        <v>49</v>
      </c>
      <c r="D46" s="1">
        <f t="shared" si="1"/>
        <v>1968.8389137440477</v>
      </c>
      <c r="E46" s="1">
        <v>43.1</v>
      </c>
      <c r="F46" s="2">
        <f t="shared" si="2"/>
        <v>4.1379287514875856E-3</v>
      </c>
      <c r="G46" s="1">
        <v>13</v>
      </c>
      <c r="H46" s="1">
        <v>11.1</v>
      </c>
      <c r="I46" s="1">
        <v>1.1000000000000001</v>
      </c>
      <c r="J46" s="3">
        <f t="shared" si="3"/>
        <v>0</v>
      </c>
      <c r="L46" s="1">
        <f t="shared" si="4"/>
        <v>28.481132075471699</v>
      </c>
      <c r="M46" s="1">
        <f t="shared" si="5"/>
        <v>-10549.551182935864</v>
      </c>
      <c r="N46" s="1">
        <f t="shared" si="6"/>
        <v>1.5169811320754647</v>
      </c>
      <c r="O46" s="2">
        <f t="shared" si="7"/>
        <v>-0.10235422400327145</v>
      </c>
      <c r="P46" s="1">
        <f t="shared" si="8"/>
        <v>7.8301886792452828</v>
      </c>
      <c r="Q46" s="1">
        <f t="shared" si="9"/>
        <v>3.2915094339622648</v>
      </c>
      <c r="R46" s="1">
        <f t="shared" si="10"/>
        <v>-1.9981132075471701</v>
      </c>
      <c r="S46" s="1">
        <f t="shared" si="11"/>
        <v>-0.28301886792452829</v>
      </c>
      <c r="U46" s="1">
        <f t="shared" si="12"/>
        <v>811.17488430046285</v>
      </c>
      <c r="V46" s="1">
        <f t="shared" si="13"/>
        <v>111293030.16138348</v>
      </c>
      <c r="W46" s="1">
        <f t="shared" si="14"/>
        <v>2.3012317550729584</v>
      </c>
      <c r="X46" s="1">
        <f t="shared" si="15"/>
        <v>1.0476387171311869E-2</v>
      </c>
      <c r="Y46" s="1">
        <f t="shared" si="16"/>
        <v>61.311854752580984</v>
      </c>
      <c r="Z46" s="1">
        <f t="shared" si="17"/>
        <v>10.834034353862588</v>
      </c>
      <c r="AA46" s="1">
        <f t="shared" si="18"/>
        <v>3.9924563901744405</v>
      </c>
      <c r="AB46" s="1">
        <f t="shared" si="19"/>
        <v>8.0099679601281587E-2</v>
      </c>
    </row>
    <row r="47" spans="2:28" x14ac:dyDescent="0.3">
      <c r="B47" s="1">
        <v>2</v>
      </c>
      <c r="C47" s="1">
        <v>9</v>
      </c>
      <c r="D47" s="1">
        <f t="shared" si="1"/>
        <v>10056.999368539848</v>
      </c>
      <c r="E47" s="1">
        <v>46.4</v>
      </c>
      <c r="F47" s="2">
        <f t="shared" si="2"/>
        <v>7.5203670340198842E-3</v>
      </c>
      <c r="G47" s="1">
        <v>1</v>
      </c>
      <c r="H47" s="1">
        <v>18.5</v>
      </c>
      <c r="I47" s="1">
        <v>2.9</v>
      </c>
      <c r="J47" s="3">
        <f t="shared" si="3"/>
        <v>0</v>
      </c>
      <c r="L47" s="1">
        <f t="shared" si="4"/>
        <v>-11.518867924528301</v>
      </c>
      <c r="M47" s="1">
        <f t="shared" si="5"/>
        <v>-2461.3907281400643</v>
      </c>
      <c r="N47" s="1">
        <f t="shared" si="6"/>
        <v>4.8169811320754619</v>
      </c>
      <c r="O47" s="2">
        <f t="shared" si="7"/>
        <v>-9.8971785720739142E-2</v>
      </c>
      <c r="P47" s="1">
        <f t="shared" si="8"/>
        <v>-4.1698113207547172</v>
      </c>
      <c r="Q47" s="1">
        <f t="shared" si="9"/>
        <v>10.691509433962265</v>
      </c>
      <c r="R47" s="1">
        <f t="shared" si="10"/>
        <v>-0.19811320754717032</v>
      </c>
      <c r="S47" s="1">
        <f t="shared" si="11"/>
        <v>-0.28301886792452829</v>
      </c>
      <c r="U47" s="1">
        <f t="shared" si="12"/>
        <v>132.68431826272695</v>
      </c>
      <c r="V47" s="1">
        <f t="shared" si="13"/>
        <v>6058444.316573876</v>
      </c>
      <c r="W47" s="1">
        <f t="shared" si="14"/>
        <v>23.203307226770999</v>
      </c>
      <c r="X47" s="1">
        <f t="shared" si="15"/>
        <v>9.7954143687519046E-3</v>
      </c>
      <c r="Y47" s="1">
        <f t="shared" si="16"/>
        <v>17.3873264506942</v>
      </c>
      <c r="Z47" s="1">
        <f t="shared" si="17"/>
        <v>114.30837397650411</v>
      </c>
      <c r="AA47" s="1">
        <f t="shared" si="18"/>
        <v>3.9248843004628185E-2</v>
      </c>
      <c r="AB47" s="1">
        <f t="shared" si="19"/>
        <v>8.0099679601281587E-2</v>
      </c>
    </row>
    <row r="48" spans="2:28" x14ac:dyDescent="0.3">
      <c r="B48" s="1">
        <v>3.6</v>
      </c>
      <c r="C48" s="1">
        <v>45</v>
      </c>
      <c r="D48" s="1">
        <f t="shared" si="1"/>
        <v>4204.7292596065899</v>
      </c>
      <c r="E48" s="1">
        <v>47.8</v>
      </c>
      <c r="F48" s="2">
        <f t="shared" si="2"/>
        <v>3.7331517391016103E-2</v>
      </c>
      <c r="G48" s="1">
        <v>6</v>
      </c>
      <c r="H48" s="1">
        <v>4.7</v>
      </c>
      <c r="I48" s="1">
        <v>0.9</v>
      </c>
      <c r="J48" s="3">
        <f t="shared" si="3"/>
        <v>0</v>
      </c>
      <c r="L48" s="1">
        <f t="shared" si="4"/>
        <v>24.481132075471699</v>
      </c>
      <c r="M48" s="1">
        <f t="shared" si="5"/>
        <v>-8313.6608370733229</v>
      </c>
      <c r="N48" s="1">
        <f t="shared" si="6"/>
        <v>6.2169811320754604</v>
      </c>
      <c r="O48" s="2">
        <f t="shared" si="7"/>
        <v>-6.9160635363742923E-2</v>
      </c>
      <c r="P48" s="1">
        <f t="shared" si="8"/>
        <v>0.83018867924528283</v>
      </c>
      <c r="Q48" s="1">
        <f t="shared" si="9"/>
        <v>-3.1084905660377347</v>
      </c>
      <c r="R48" s="1">
        <f t="shared" si="10"/>
        <v>-2.1981132075471703</v>
      </c>
      <c r="S48" s="1">
        <f t="shared" si="11"/>
        <v>-0.28301886792452829</v>
      </c>
      <c r="U48" s="1">
        <f t="shared" si="12"/>
        <v>599.3258276966892</v>
      </c>
      <c r="V48" s="1">
        <f t="shared" si="13"/>
        <v>69116956.513886705</v>
      </c>
      <c r="W48" s="1">
        <f t="shared" si="14"/>
        <v>38.650854396582275</v>
      </c>
      <c r="X48" s="1">
        <f t="shared" si="15"/>
        <v>4.783193483916608E-3</v>
      </c>
      <c r="Y48" s="1">
        <f t="shared" si="16"/>
        <v>0.68921324314702714</v>
      </c>
      <c r="Z48" s="1">
        <f t="shared" si="17"/>
        <v>9.6627135991455955</v>
      </c>
      <c r="AA48" s="1">
        <f t="shared" si="18"/>
        <v>4.8317016731933098</v>
      </c>
      <c r="AB48" s="1">
        <f t="shared" si="19"/>
        <v>8.0099679601281587E-2</v>
      </c>
    </row>
    <row r="49" spans="2:28" x14ac:dyDescent="0.3">
      <c r="B49" s="1">
        <v>1.3</v>
      </c>
      <c r="C49" s="1">
        <v>4</v>
      </c>
      <c r="D49" s="1">
        <f t="shared" si="1"/>
        <v>17228.974348593034</v>
      </c>
      <c r="E49" s="1">
        <v>43.8</v>
      </c>
      <c r="F49" s="2">
        <f t="shared" si="2"/>
        <v>6.6199407582460956E-2</v>
      </c>
      <c r="G49" s="1">
        <v>0</v>
      </c>
      <c r="H49" s="1">
        <v>16.3</v>
      </c>
      <c r="I49" s="1">
        <v>4.2</v>
      </c>
      <c r="J49" s="3">
        <f t="shared" si="3"/>
        <v>0</v>
      </c>
      <c r="L49" s="1">
        <f t="shared" si="4"/>
        <v>-16.518867924528301</v>
      </c>
      <c r="M49" s="1">
        <f t="shared" si="5"/>
        <v>4710.584251913122</v>
      </c>
      <c r="N49" s="1">
        <f t="shared" si="6"/>
        <v>2.2169811320754604</v>
      </c>
      <c r="O49" s="2">
        <f t="shared" si="7"/>
        <v>-4.029274517229807E-2</v>
      </c>
      <c r="P49" s="1">
        <f t="shared" si="8"/>
        <v>-5.1698113207547172</v>
      </c>
      <c r="Q49" s="1">
        <f t="shared" si="9"/>
        <v>8.4915094339622659</v>
      </c>
      <c r="R49" s="1">
        <f t="shared" si="10"/>
        <v>1.1018867924528299</v>
      </c>
      <c r="S49" s="1">
        <f t="shared" si="11"/>
        <v>-0.28301886792452829</v>
      </c>
      <c r="U49" s="1">
        <f t="shared" si="12"/>
        <v>272.87299750800997</v>
      </c>
      <c r="V49" s="1">
        <f t="shared" si="13"/>
        <v>22189603.994371906</v>
      </c>
      <c r="W49" s="1">
        <f t="shared" si="14"/>
        <v>4.91500533997859</v>
      </c>
      <c r="X49" s="1">
        <f t="shared" si="15"/>
        <v>1.6235053135197494E-3</v>
      </c>
      <c r="Y49" s="1">
        <f t="shared" si="16"/>
        <v>26.726949092203633</v>
      </c>
      <c r="Z49" s="1">
        <f t="shared" si="17"/>
        <v>72.105732467070155</v>
      </c>
      <c r="AA49" s="1">
        <f t="shared" si="18"/>
        <v>1.2141545033819858</v>
      </c>
      <c r="AB49" s="1">
        <f t="shared" si="19"/>
        <v>8.0099679601281587E-2</v>
      </c>
    </row>
    <row r="50" spans="2:28" x14ac:dyDescent="0.3">
      <c r="B50" s="1">
        <v>2.5</v>
      </c>
      <c r="C50" s="1">
        <v>24</v>
      </c>
      <c r="D50" s="1">
        <f t="shared" si="1"/>
        <v>6046.8543336164394</v>
      </c>
      <c r="E50" s="1">
        <v>32.6</v>
      </c>
      <c r="F50" s="2">
        <f t="shared" si="2"/>
        <v>4.0188510908501479E-2</v>
      </c>
      <c r="G50" s="1">
        <v>11</v>
      </c>
      <c r="H50" s="1">
        <v>3.6</v>
      </c>
      <c r="I50" s="1">
        <v>0.4</v>
      </c>
      <c r="J50" s="3">
        <f t="shared" si="3"/>
        <v>1</v>
      </c>
      <c r="L50" s="1">
        <f t="shared" si="4"/>
        <v>3.4811320754716988</v>
      </c>
      <c r="M50" s="1">
        <f t="shared" si="5"/>
        <v>-6471.5357630634726</v>
      </c>
      <c r="N50" s="1">
        <f t="shared" si="6"/>
        <v>-8.9830188679245353</v>
      </c>
      <c r="O50" s="2">
        <f t="shared" si="7"/>
        <v>-6.6303641846257547E-2</v>
      </c>
      <c r="P50" s="1">
        <f t="shared" si="8"/>
        <v>5.8301886792452828</v>
      </c>
      <c r="Q50" s="1">
        <f t="shared" si="9"/>
        <v>-4.2084905660377352</v>
      </c>
      <c r="R50" s="1">
        <f t="shared" si="10"/>
        <v>-2.6981132075471703</v>
      </c>
      <c r="S50" s="1">
        <f t="shared" si="11"/>
        <v>0.71698113207547176</v>
      </c>
      <c r="U50" s="1">
        <f t="shared" si="12"/>
        <v>12.118280526877896</v>
      </c>
      <c r="V50" s="1">
        <f t="shared" si="13"/>
        <v>41880775.132609524</v>
      </c>
      <c r="W50" s="1">
        <f t="shared" si="14"/>
        <v>80.694627981488196</v>
      </c>
      <c r="X50" s="1">
        <f t="shared" si="15"/>
        <v>4.3961729220767945E-3</v>
      </c>
      <c r="Y50" s="1">
        <f t="shared" si="16"/>
        <v>33.991100035599857</v>
      </c>
      <c r="Z50" s="1">
        <f t="shared" si="17"/>
        <v>17.711392844428616</v>
      </c>
      <c r="AA50" s="1">
        <f t="shared" si="18"/>
        <v>7.2798148807404797</v>
      </c>
      <c r="AB50" s="1">
        <f t="shared" si="19"/>
        <v>0.51406194375222514</v>
      </c>
    </row>
    <row r="51" spans="2:28" x14ac:dyDescent="0.3">
      <c r="B51" s="1">
        <v>4.5</v>
      </c>
      <c r="C51" s="1">
        <v>96</v>
      </c>
      <c r="D51" s="1">
        <f t="shared" si="1"/>
        <v>1825.2504512558066</v>
      </c>
      <c r="E51" s="1">
        <v>51.5</v>
      </c>
      <c r="F51" s="2">
        <f t="shared" si="2"/>
        <v>1.7513408227266169E-2</v>
      </c>
      <c r="G51" s="1">
        <v>14</v>
      </c>
      <c r="H51" s="1">
        <v>6.1</v>
      </c>
      <c r="I51" s="1">
        <v>0.3</v>
      </c>
      <c r="J51" s="3">
        <f t="shared" si="3"/>
        <v>0</v>
      </c>
      <c r="L51" s="1">
        <f t="shared" si="4"/>
        <v>75.481132075471692</v>
      </c>
      <c r="M51" s="1">
        <f t="shared" si="5"/>
        <v>-10693.139645424106</v>
      </c>
      <c r="N51" s="1">
        <f t="shared" si="6"/>
        <v>9.9169811320754633</v>
      </c>
      <c r="O51" s="2">
        <f t="shared" si="7"/>
        <v>-8.8978744527492853E-2</v>
      </c>
      <c r="P51" s="1">
        <f t="shared" si="8"/>
        <v>8.8301886792452819</v>
      </c>
      <c r="Q51" s="1">
        <f t="shared" si="9"/>
        <v>-1.7084905660377352</v>
      </c>
      <c r="R51" s="1">
        <f t="shared" si="10"/>
        <v>-2.7981132075471704</v>
      </c>
      <c r="S51" s="1">
        <f t="shared" si="11"/>
        <v>-0.28301886792452829</v>
      </c>
      <c r="U51" s="1">
        <f t="shared" si="12"/>
        <v>5697.4012993948018</v>
      </c>
      <c r="V51" s="1">
        <f t="shared" si="13"/>
        <v>114343235.47654077</v>
      </c>
      <c r="W51" s="1">
        <f t="shared" si="14"/>
        <v>98.34651477394074</v>
      </c>
      <c r="X51" s="1">
        <f t="shared" si="15"/>
        <v>7.9172169776888391E-3</v>
      </c>
      <c r="Y51" s="1">
        <f t="shared" si="16"/>
        <v>77.972232111071534</v>
      </c>
      <c r="Z51" s="1">
        <f t="shared" si="17"/>
        <v>2.9189400142399409</v>
      </c>
      <c r="AA51" s="1">
        <f t="shared" si="18"/>
        <v>7.829437522249914</v>
      </c>
      <c r="AB51" s="1">
        <f t="shared" si="19"/>
        <v>8.0099679601281587E-2</v>
      </c>
    </row>
    <row r="52" spans="2:28" x14ac:dyDescent="0.3">
      <c r="B52" s="1">
        <v>1.6</v>
      </c>
      <c r="C52" s="1">
        <v>4</v>
      </c>
      <c r="D52" s="1">
        <f t="shared" si="1"/>
        <v>14607.767357521481</v>
      </c>
      <c r="E52" s="1">
        <v>44.9</v>
      </c>
      <c r="F52" s="2">
        <f t="shared" si="2"/>
        <v>0.20392633766619866</v>
      </c>
      <c r="G52" s="1">
        <v>6</v>
      </c>
      <c r="H52" s="1">
        <v>4.3</v>
      </c>
      <c r="I52" s="1">
        <v>7</v>
      </c>
      <c r="J52" s="3">
        <f t="shared" si="3"/>
        <v>0</v>
      </c>
      <c r="L52" s="1">
        <f t="shared" si="4"/>
        <v>-16.518867924528301</v>
      </c>
      <c r="M52" s="1">
        <f t="shared" si="5"/>
        <v>2089.3772608415693</v>
      </c>
      <c r="N52" s="1">
        <f t="shared" si="6"/>
        <v>3.3169811320754619</v>
      </c>
      <c r="O52" s="2">
        <f t="shared" si="7"/>
        <v>9.7434184911439639E-2</v>
      </c>
      <c r="P52" s="1">
        <f t="shared" si="8"/>
        <v>0.83018867924528283</v>
      </c>
      <c r="Q52" s="1">
        <f t="shared" si="9"/>
        <v>-3.508490566037735</v>
      </c>
      <c r="R52" s="1">
        <f t="shared" si="10"/>
        <v>3.9018867924528298</v>
      </c>
      <c r="S52" s="1">
        <f t="shared" si="11"/>
        <v>-0.28301886792452829</v>
      </c>
      <c r="U52" s="1">
        <f t="shared" si="12"/>
        <v>272.87299750800997</v>
      </c>
      <c r="V52" s="1">
        <f t="shared" si="13"/>
        <v>4365497.3381218193</v>
      </c>
      <c r="W52" s="1">
        <f t="shared" si="14"/>
        <v>11.002363830544613</v>
      </c>
      <c r="X52" s="1">
        <f t="shared" si="15"/>
        <v>9.4934203893566119E-3</v>
      </c>
      <c r="Y52" s="1">
        <f t="shared" si="16"/>
        <v>0.68921324314702714</v>
      </c>
      <c r="Z52" s="1">
        <f t="shared" si="17"/>
        <v>12.309506051975786</v>
      </c>
      <c r="AA52" s="1">
        <f t="shared" si="18"/>
        <v>15.224720541117833</v>
      </c>
      <c r="AB52" s="1">
        <f t="shared" si="19"/>
        <v>8.0099679601281587E-2</v>
      </c>
    </row>
    <row r="53" spans="2:28" x14ac:dyDescent="0.3">
      <c r="B53" s="1">
        <v>2.1</v>
      </c>
      <c r="C53" s="1">
        <v>33</v>
      </c>
      <c r="D53" s="1">
        <f t="shared" si="1"/>
        <v>3988.2811527235376</v>
      </c>
      <c r="E53" s="1">
        <v>20.100000000000001</v>
      </c>
      <c r="F53" s="2">
        <f t="shared" si="2"/>
        <v>6.3231758971551174E-4</v>
      </c>
      <c r="G53" s="1">
        <v>5</v>
      </c>
      <c r="H53" s="1">
        <v>8</v>
      </c>
      <c r="I53" s="1">
        <v>0.5</v>
      </c>
      <c r="J53" s="3">
        <f t="shared" si="3"/>
        <v>0</v>
      </c>
      <c r="L53" s="1">
        <f t="shared" si="4"/>
        <v>12.481132075471699</v>
      </c>
      <c r="M53" s="1">
        <f t="shared" si="5"/>
        <v>-8530.1089439563748</v>
      </c>
      <c r="N53" s="1">
        <f t="shared" si="6"/>
        <v>-21.483018867924535</v>
      </c>
      <c r="O53" s="2">
        <f t="shared" si="7"/>
        <v>-0.10585983516504352</v>
      </c>
      <c r="P53" s="1">
        <f t="shared" si="8"/>
        <v>-0.16981132075471717</v>
      </c>
      <c r="Q53" s="1">
        <f t="shared" si="9"/>
        <v>0.19150943396226516</v>
      </c>
      <c r="R53" s="1">
        <f t="shared" si="10"/>
        <v>-2.5981132075471702</v>
      </c>
      <c r="S53" s="1">
        <f t="shared" si="11"/>
        <v>-0.28301886792452829</v>
      </c>
      <c r="U53" s="1">
        <f t="shared" si="12"/>
        <v>155.77865788536849</v>
      </c>
      <c r="V53" s="1">
        <f t="shared" si="13"/>
        <v>72762758.595764533</v>
      </c>
      <c r="W53" s="1">
        <f t="shared" si="14"/>
        <v>461.52009967960157</v>
      </c>
      <c r="X53" s="1">
        <f t="shared" si="15"/>
        <v>1.1206304701170185E-2</v>
      </c>
      <c r="Y53" s="1">
        <f t="shared" si="16"/>
        <v>2.8835884656461436E-2</v>
      </c>
      <c r="Z53" s="1">
        <f t="shared" si="17"/>
        <v>3.66758632965472E-2</v>
      </c>
      <c r="AA53" s="1">
        <f t="shared" si="18"/>
        <v>6.7501922392310449</v>
      </c>
      <c r="AB53" s="1">
        <f t="shared" si="19"/>
        <v>8.0099679601281587E-2</v>
      </c>
    </row>
    <row r="54" spans="2:28" x14ac:dyDescent="0.3">
      <c r="B54" s="1">
        <v>1.7</v>
      </c>
      <c r="C54" s="1">
        <v>25</v>
      </c>
      <c r="D54" s="1">
        <f t="shared" si="1"/>
        <v>7890.6087700290173</v>
      </c>
      <c r="E54" s="1">
        <v>16.8</v>
      </c>
      <c r="F54" s="2">
        <f t="shared" si="2"/>
        <v>1.1905761280033161E-3</v>
      </c>
      <c r="G54" s="1">
        <v>0</v>
      </c>
      <c r="H54" s="1">
        <v>12.2</v>
      </c>
      <c r="I54" s="1">
        <v>1.6</v>
      </c>
      <c r="J54" s="3">
        <f t="shared" si="3"/>
        <v>0</v>
      </c>
      <c r="L54" s="1">
        <f t="shared" si="4"/>
        <v>4.4811320754716988</v>
      </c>
      <c r="M54" s="1">
        <f t="shared" si="5"/>
        <v>-4627.7813266508947</v>
      </c>
      <c r="N54" s="1">
        <f t="shared" si="6"/>
        <v>-24.783018867924536</v>
      </c>
      <c r="O54" s="2">
        <f t="shared" si="7"/>
        <v>-0.10530157662675571</v>
      </c>
      <c r="P54" s="1">
        <f t="shared" si="8"/>
        <v>-5.1698113207547172</v>
      </c>
      <c r="Q54" s="1">
        <f t="shared" si="9"/>
        <v>4.3915094339622645</v>
      </c>
      <c r="R54" s="1">
        <f t="shared" si="10"/>
        <v>-1.4981132075471701</v>
      </c>
      <c r="S54" s="1">
        <f t="shared" si="11"/>
        <v>-0.28301886792452829</v>
      </c>
      <c r="U54" s="1">
        <f t="shared" si="12"/>
        <v>20.080544677821294</v>
      </c>
      <c r="V54" s="1">
        <f t="shared" si="13"/>
        <v>21416360.007298715</v>
      </c>
      <c r="W54" s="1">
        <f t="shared" si="14"/>
        <v>614.19802420790359</v>
      </c>
      <c r="X54" s="1">
        <f t="shared" si="15"/>
        <v>1.1088422040080505E-2</v>
      </c>
      <c r="Y54" s="1">
        <f t="shared" si="16"/>
        <v>26.726949092203633</v>
      </c>
      <c r="Z54" s="1">
        <f t="shared" si="17"/>
        <v>19.285355108579569</v>
      </c>
      <c r="AA54" s="1">
        <f t="shared" si="18"/>
        <v>2.2443431826272704</v>
      </c>
      <c r="AB54" s="1">
        <f t="shared" si="19"/>
        <v>8.0099679601281587E-2</v>
      </c>
    </row>
    <row r="55" spans="2:28" x14ac:dyDescent="0.3">
      <c r="B55" s="1">
        <v>1.6</v>
      </c>
      <c r="C55" s="1">
        <v>3</v>
      </c>
      <c r="D55" s="1">
        <f t="shared" si="1"/>
        <v>18552.320817467586</v>
      </c>
      <c r="E55" s="1">
        <v>45.8</v>
      </c>
      <c r="F55" s="2">
        <f t="shared" si="2"/>
        <v>8.1007965918328581E-2</v>
      </c>
      <c r="G55" s="1">
        <v>0</v>
      </c>
      <c r="H55" s="1">
        <v>5.6</v>
      </c>
      <c r="I55" s="1">
        <v>3</v>
      </c>
      <c r="J55" s="3">
        <f t="shared" si="3"/>
        <v>0</v>
      </c>
      <c r="L55" s="1">
        <f t="shared" si="4"/>
        <v>-17.518867924528301</v>
      </c>
      <c r="M55" s="1">
        <f t="shared" si="5"/>
        <v>6033.9307207876736</v>
      </c>
      <c r="N55" s="1">
        <f t="shared" si="6"/>
        <v>4.2169811320754604</v>
      </c>
      <c r="O55" s="2">
        <f t="shared" si="7"/>
        <v>-2.5484186836430445E-2</v>
      </c>
      <c r="P55" s="1">
        <f t="shared" si="8"/>
        <v>-5.1698113207547172</v>
      </c>
      <c r="Q55" s="1">
        <f t="shared" si="9"/>
        <v>-2.2084905660377352</v>
      </c>
      <c r="R55" s="1">
        <f t="shared" si="10"/>
        <v>-9.8113207547170234E-2</v>
      </c>
      <c r="S55" s="1">
        <f t="shared" si="11"/>
        <v>-0.28301886792452829</v>
      </c>
      <c r="U55" s="1">
        <f t="shared" si="12"/>
        <v>306.91073335706653</v>
      </c>
      <c r="V55" s="1">
        <f t="shared" si="13"/>
        <v>36408319.943265252</v>
      </c>
      <c r="W55" s="1">
        <f t="shared" si="14"/>
        <v>17.782929868280434</v>
      </c>
      <c r="X55" s="1">
        <f t="shared" si="15"/>
        <v>6.4944377871409471E-4</v>
      </c>
      <c r="Y55" s="1">
        <f t="shared" si="16"/>
        <v>26.726949092203633</v>
      </c>
      <c r="Z55" s="1">
        <f t="shared" si="17"/>
        <v>4.8774305802776761</v>
      </c>
      <c r="AA55" s="1">
        <f t="shared" si="18"/>
        <v>9.6262014951941019E-3</v>
      </c>
      <c r="AB55" s="1">
        <f t="shared" si="19"/>
        <v>8.0099679601281587E-2</v>
      </c>
    </row>
    <row r="56" spans="2:28" x14ac:dyDescent="0.3">
      <c r="B56" s="1">
        <v>1.7</v>
      </c>
      <c r="C56" s="1">
        <v>2</v>
      </c>
      <c r="D56" s="1">
        <f t="shared" si="1"/>
        <v>27460.695164442932</v>
      </c>
      <c r="E56" s="1">
        <v>45.9</v>
      </c>
      <c r="F56" s="2">
        <f t="shared" si="2"/>
        <v>2.9304630424653401E-2</v>
      </c>
      <c r="G56" s="1">
        <v>0</v>
      </c>
      <c r="H56" s="1">
        <v>5.5</v>
      </c>
      <c r="I56" s="1">
        <v>3.1</v>
      </c>
      <c r="J56" s="3">
        <f t="shared" si="3"/>
        <v>0</v>
      </c>
      <c r="L56" s="1">
        <f t="shared" si="4"/>
        <v>-18.518867924528301</v>
      </c>
      <c r="M56" s="1">
        <f t="shared" si="5"/>
        <v>14942.30506776302</v>
      </c>
      <c r="N56" s="1">
        <f t="shared" si="6"/>
        <v>4.3169811320754619</v>
      </c>
      <c r="O56" s="2">
        <f t="shared" si="7"/>
        <v>-7.7187522330105618E-2</v>
      </c>
      <c r="P56" s="1">
        <f t="shared" si="8"/>
        <v>-5.1698113207547172</v>
      </c>
      <c r="Q56" s="1">
        <f t="shared" si="9"/>
        <v>-2.3084905660377348</v>
      </c>
      <c r="R56" s="1">
        <f t="shared" si="10"/>
        <v>1.8867924528298552E-3</v>
      </c>
      <c r="S56" s="1">
        <f t="shared" si="11"/>
        <v>-0.28301886792452829</v>
      </c>
      <c r="U56" s="1">
        <f t="shared" si="12"/>
        <v>342.94846920612315</v>
      </c>
      <c r="V56" s="1">
        <f t="shared" si="13"/>
        <v>223272480.73809642</v>
      </c>
      <c r="W56" s="1">
        <f t="shared" si="14"/>
        <v>18.636326094695537</v>
      </c>
      <c r="X56" s="1">
        <f t="shared" si="15"/>
        <v>5.9579136034605537E-3</v>
      </c>
      <c r="Y56" s="1">
        <f t="shared" si="16"/>
        <v>26.726949092203633</v>
      </c>
      <c r="Z56" s="1">
        <f t="shared" si="17"/>
        <v>5.3291286934852211</v>
      </c>
      <c r="AA56" s="1">
        <f t="shared" si="18"/>
        <v>3.5599857600557015E-6</v>
      </c>
      <c r="AB56" s="1">
        <f t="shared" si="19"/>
        <v>8.0099679601281587E-2</v>
      </c>
    </row>
    <row r="57" spans="2:28" x14ac:dyDescent="0.3">
      <c r="B57" s="1">
        <v>2.9</v>
      </c>
      <c r="C57" s="1">
        <v>4</v>
      </c>
      <c r="D57" s="1">
        <f t="shared" si="1"/>
        <v>18717.472692329244</v>
      </c>
      <c r="E57" s="1">
        <v>47.8</v>
      </c>
      <c r="F57" s="2">
        <f t="shared" si="2"/>
        <v>3.234924242117905E-2</v>
      </c>
      <c r="G57" s="1">
        <v>0</v>
      </c>
      <c r="H57" s="1">
        <v>4.3</v>
      </c>
      <c r="I57" s="1">
        <v>3</v>
      </c>
      <c r="J57" s="3">
        <f t="shared" si="3"/>
        <v>0</v>
      </c>
      <c r="L57" s="1">
        <f t="shared" si="4"/>
        <v>-16.518867924528301</v>
      </c>
      <c r="M57" s="1">
        <f t="shared" si="5"/>
        <v>6199.0825956493318</v>
      </c>
      <c r="N57" s="1">
        <f t="shared" si="6"/>
        <v>6.2169811320754604</v>
      </c>
      <c r="O57" s="2">
        <f t="shared" si="7"/>
        <v>-7.4142910333579976E-2</v>
      </c>
      <c r="P57" s="1">
        <f t="shared" si="8"/>
        <v>-5.1698113207547172</v>
      </c>
      <c r="Q57" s="1">
        <f t="shared" si="9"/>
        <v>-3.508490566037735</v>
      </c>
      <c r="R57" s="1">
        <f t="shared" si="10"/>
        <v>-9.8113207547170234E-2</v>
      </c>
      <c r="S57" s="1">
        <f t="shared" si="11"/>
        <v>-0.28301886792452829</v>
      </c>
      <c r="U57" s="1">
        <f t="shared" si="12"/>
        <v>272.87299750800997</v>
      </c>
      <c r="V57" s="1">
        <f t="shared" si="13"/>
        <v>38428625.027682453</v>
      </c>
      <c r="W57" s="1">
        <f t="shared" si="14"/>
        <v>38.650854396582275</v>
      </c>
      <c r="X57" s="1">
        <f t="shared" si="15"/>
        <v>5.4971711527332804E-3</v>
      </c>
      <c r="Y57" s="1">
        <f t="shared" si="16"/>
        <v>26.726949092203633</v>
      </c>
      <c r="Z57" s="1">
        <f t="shared" si="17"/>
        <v>12.309506051975786</v>
      </c>
      <c r="AA57" s="1">
        <f t="shared" si="18"/>
        <v>9.6262014951941019E-3</v>
      </c>
      <c r="AB57" s="1">
        <f t="shared" si="19"/>
        <v>8.0099679601281587E-2</v>
      </c>
    </row>
    <row r="58" spans="2:28" x14ac:dyDescent="0.3">
      <c r="B58" s="1">
        <v>1.2</v>
      </c>
      <c r="C58" s="1">
        <v>3</v>
      </c>
      <c r="D58" s="1">
        <f t="shared" si="1"/>
        <v>21425.541540256774</v>
      </c>
      <c r="E58" s="1">
        <v>42.4</v>
      </c>
      <c r="F58" s="2">
        <f t="shared" si="2"/>
        <v>0.1335998160347027</v>
      </c>
      <c r="G58" s="1">
        <v>4</v>
      </c>
      <c r="H58" s="1">
        <v>9.1999999999999993</v>
      </c>
      <c r="I58" s="1">
        <v>3.2</v>
      </c>
      <c r="J58" s="3">
        <f t="shared" si="3"/>
        <v>0</v>
      </c>
      <c r="L58" s="1">
        <f t="shared" si="4"/>
        <v>-17.518867924528301</v>
      </c>
      <c r="M58" s="1">
        <f t="shared" si="5"/>
        <v>8907.1514435768622</v>
      </c>
      <c r="N58" s="1">
        <f t="shared" si="6"/>
        <v>0.81698113207546186</v>
      </c>
      <c r="O58" s="2">
        <f t="shared" si="7"/>
        <v>2.710766327994367E-2</v>
      </c>
      <c r="P58" s="1">
        <f t="shared" si="8"/>
        <v>-1.1698113207547172</v>
      </c>
      <c r="Q58" s="1">
        <f t="shared" si="9"/>
        <v>1.3915094339622645</v>
      </c>
      <c r="R58" s="1">
        <f t="shared" si="10"/>
        <v>0.10188679245282994</v>
      </c>
      <c r="S58" s="1">
        <f t="shared" si="11"/>
        <v>-0.28301886792452829</v>
      </c>
      <c r="U58" s="1">
        <f t="shared" si="12"/>
        <v>306.91073335706653</v>
      </c>
      <c r="V58" s="1">
        <f t="shared" si="13"/>
        <v>79337346.838813379</v>
      </c>
      <c r="W58" s="1">
        <f t="shared" si="14"/>
        <v>0.66745817016730324</v>
      </c>
      <c r="X58" s="1">
        <f t="shared" si="15"/>
        <v>7.3482540849880644E-4</v>
      </c>
      <c r="Y58" s="1">
        <f t="shared" si="16"/>
        <v>1.3684585261658957</v>
      </c>
      <c r="Z58" s="1">
        <f t="shared" si="17"/>
        <v>1.9362985048059815</v>
      </c>
      <c r="AA58" s="1">
        <f t="shared" si="18"/>
        <v>1.0380918476326044E-2</v>
      </c>
      <c r="AB58" s="1">
        <f t="shared" si="19"/>
        <v>8.0099679601281587E-2</v>
      </c>
    </row>
    <row r="59" spans="2:28" x14ac:dyDescent="0.3">
      <c r="B59" s="1">
        <v>1.4</v>
      </c>
      <c r="C59" s="1">
        <v>13</v>
      </c>
      <c r="D59" s="1">
        <f t="shared" si="1"/>
        <v>6523.0059635272173</v>
      </c>
      <c r="E59" s="1">
        <v>45.3</v>
      </c>
      <c r="F59" s="2">
        <f t="shared" si="2"/>
        <v>0.16885234773992822</v>
      </c>
      <c r="G59" s="1">
        <v>33</v>
      </c>
      <c r="H59" s="1">
        <v>9.5</v>
      </c>
      <c r="I59" s="1">
        <v>1.7</v>
      </c>
      <c r="J59" s="3">
        <f t="shared" si="3"/>
        <v>0</v>
      </c>
      <c r="L59" s="1">
        <f t="shared" si="4"/>
        <v>-7.5188679245283012</v>
      </c>
      <c r="M59" s="1">
        <f t="shared" si="5"/>
        <v>-5995.3841331526946</v>
      </c>
      <c r="N59" s="1">
        <f t="shared" si="6"/>
        <v>3.7169811320754604</v>
      </c>
      <c r="O59" s="2">
        <f t="shared" si="7"/>
        <v>6.236019498516919E-2</v>
      </c>
      <c r="P59" s="1">
        <f t="shared" si="8"/>
        <v>27.830188679245282</v>
      </c>
      <c r="Q59" s="1">
        <f t="shared" si="9"/>
        <v>1.6915094339622652</v>
      </c>
      <c r="R59" s="1">
        <f t="shared" si="10"/>
        <v>-1.3981132075471703</v>
      </c>
      <c r="S59" s="1">
        <f t="shared" si="11"/>
        <v>-0.28301886792452829</v>
      </c>
      <c r="U59" s="1">
        <f t="shared" si="12"/>
        <v>56.533374866500523</v>
      </c>
      <c r="V59" s="1">
        <f t="shared" si="13"/>
        <v>35944630.90405909</v>
      </c>
      <c r="W59" s="1">
        <f t="shared" si="14"/>
        <v>13.815948736204971</v>
      </c>
      <c r="X59" s="1">
        <f t="shared" si="15"/>
        <v>3.8887939185883206E-3</v>
      </c>
      <c r="Y59" s="1">
        <f t="shared" si="16"/>
        <v>774.51940192239226</v>
      </c>
      <c r="Z59" s="1">
        <f t="shared" si="17"/>
        <v>2.8612041651833429</v>
      </c>
      <c r="AA59" s="1">
        <f t="shared" si="18"/>
        <v>1.9547205411178368</v>
      </c>
      <c r="AB59" s="1">
        <f t="shared" si="19"/>
        <v>8.0099679601281587E-2</v>
      </c>
    </row>
    <row r="60" spans="2:28" x14ac:dyDescent="0.3">
      <c r="B60" s="1">
        <v>1.3</v>
      </c>
      <c r="C60" s="1">
        <v>3</v>
      </c>
      <c r="D60" s="1">
        <f t="shared" si="1"/>
        <v>20146.801403089008</v>
      </c>
      <c r="E60" s="1">
        <v>44.4</v>
      </c>
      <c r="F60" s="2">
        <f t="shared" si="2"/>
        <v>0.59236628077808418</v>
      </c>
      <c r="G60" s="1">
        <v>2</v>
      </c>
      <c r="H60" s="1">
        <v>2.8</v>
      </c>
      <c r="I60" s="1">
        <v>13.1</v>
      </c>
      <c r="J60" s="3">
        <f t="shared" si="3"/>
        <v>1</v>
      </c>
      <c r="L60" s="1">
        <f t="shared" si="4"/>
        <v>-17.518867924528301</v>
      </c>
      <c r="M60" s="1">
        <f t="shared" si="5"/>
        <v>7628.4113064090961</v>
      </c>
      <c r="N60" s="1">
        <f t="shared" si="6"/>
        <v>2.8169811320754619</v>
      </c>
      <c r="O60" s="2">
        <f t="shared" si="7"/>
        <v>0.48587412802332514</v>
      </c>
      <c r="P60" s="1">
        <f t="shared" si="8"/>
        <v>-3.1698113207547172</v>
      </c>
      <c r="Q60" s="1">
        <f t="shared" si="9"/>
        <v>-5.008490566037735</v>
      </c>
      <c r="R60" s="1">
        <f t="shared" si="10"/>
        <v>10.001886792452829</v>
      </c>
      <c r="S60" s="1">
        <f t="shared" si="11"/>
        <v>0.71698113207547176</v>
      </c>
      <c r="U60" s="1">
        <f t="shared" si="12"/>
        <v>306.91073335706653</v>
      </c>
      <c r="V60" s="1">
        <f t="shared" si="13"/>
        <v>58192659.059750132</v>
      </c>
      <c r="W60" s="1">
        <f t="shared" si="14"/>
        <v>7.9353826984691507</v>
      </c>
      <c r="X60" s="1">
        <f t="shared" si="15"/>
        <v>0.23607366828242654</v>
      </c>
      <c r="Y60" s="1">
        <f t="shared" si="16"/>
        <v>10.047703809184764</v>
      </c>
      <c r="Z60" s="1">
        <f t="shared" si="17"/>
        <v>25.084977750088992</v>
      </c>
      <c r="AA60" s="1">
        <f t="shared" si="18"/>
        <v>100.03773940904235</v>
      </c>
      <c r="AB60" s="1">
        <f t="shared" si="19"/>
        <v>0.51406194375222514</v>
      </c>
    </row>
    <row r="61" spans="2:28" x14ac:dyDescent="0.3">
      <c r="B61" s="1">
        <v>2.9</v>
      </c>
      <c r="C61" s="1">
        <v>15</v>
      </c>
      <c r="D61" s="1">
        <f t="shared" si="1"/>
        <v>7857.6543246418205</v>
      </c>
      <c r="E61" s="1">
        <v>16.8</v>
      </c>
      <c r="F61" s="2">
        <f t="shared" si="2"/>
        <v>9.80091019092761E-4</v>
      </c>
      <c r="G61" s="1">
        <v>20</v>
      </c>
      <c r="H61" s="1">
        <v>19</v>
      </c>
      <c r="I61" s="1">
        <v>1.5</v>
      </c>
      <c r="J61" s="3">
        <f t="shared" si="3"/>
        <v>0</v>
      </c>
      <c r="L61" s="1">
        <f t="shared" si="4"/>
        <v>-5.5188679245283012</v>
      </c>
      <c r="M61" s="1">
        <f t="shared" si="5"/>
        <v>-4660.7357720380915</v>
      </c>
      <c r="N61" s="1">
        <f t="shared" si="6"/>
        <v>-24.783018867924536</v>
      </c>
      <c r="O61" s="2">
        <f t="shared" si="7"/>
        <v>-0.10551206173566627</v>
      </c>
      <c r="P61" s="1">
        <f t="shared" si="8"/>
        <v>14.830188679245282</v>
      </c>
      <c r="Q61" s="1">
        <f t="shared" si="9"/>
        <v>11.191509433962265</v>
      </c>
      <c r="R61" s="1">
        <f t="shared" si="10"/>
        <v>-1.5981132075471702</v>
      </c>
      <c r="S61" s="1">
        <f t="shared" si="11"/>
        <v>-0.28301886792452829</v>
      </c>
      <c r="U61" s="1">
        <f t="shared" si="12"/>
        <v>30.457903168387318</v>
      </c>
      <c r="V61" s="1">
        <f t="shared" si="13"/>
        <v>21722457.936755504</v>
      </c>
      <c r="W61" s="1">
        <f t="shared" si="14"/>
        <v>614.19802420790359</v>
      </c>
      <c r="X61" s="1">
        <f t="shared" si="15"/>
        <v>1.1132795171711049E-2</v>
      </c>
      <c r="Y61" s="1">
        <f t="shared" si="16"/>
        <v>219.93449626201493</v>
      </c>
      <c r="Z61" s="1">
        <f t="shared" si="17"/>
        <v>125.24988341046638</v>
      </c>
      <c r="AA61" s="1">
        <f t="shared" si="18"/>
        <v>2.5539658241367049</v>
      </c>
      <c r="AB61" s="1">
        <f t="shared" si="19"/>
        <v>8.0099679601281587E-2</v>
      </c>
    </row>
    <row r="62" spans="2:28" x14ac:dyDescent="0.3">
      <c r="B62" s="1">
        <v>3.1</v>
      </c>
      <c r="C62" s="1">
        <v>10</v>
      </c>
      <c r="D62" s="1">
        <f t="shared" si="1"/>
        <v>14113.150404913918</v>
      </c>
      <c r="E62" s="1">
        <v>49</v>
      </c>
      <c r="F62" s="2">
        <f t="shared" si="2"/>
        <v>3.8345381860621246E-2</v>
      </c>
      <c r="G62" s="1">
        <v>10</v>
      </c>
      <c r="H62" s="1">
        <v>4.9000000000000004</v>
      </c>
      <c r="I62" s="1">
        <v>6.1</v>
      </c>
      <c r="J62" s="3">
        <f t="shared" si="3"/>
        <v>0</v>
      </c>
      <c r="L62" s="1">
        <f t="shared" si="4"/>
        <v>-10.518867924528301</v>
      </c>
      <c r="M62" s="1">
        <f t="shared" si="5"/>
        <v>1594.7603082340065</v>
      </c>
      <c r="N62" s="1">
        <f t="shared" si="6"/>
        <v>7.4169811320754633</v>
      </c>
      <c r="O62" s="2">
        <f t="shared" si="7"/>
        <v>-6.8146770894137787E-2</v>
      </c>
      <c r="P62" s="1">
        <f t="shared" si="8"/>
        <v>4.8301886792452828</v>
      </c>
      <c r="Q62" s="1">
        <f t="shared" si="9"/>
        <v>-2.9084905660377345</v>
      </c>
      <c r="R62" s="1">
        <f t="shared" si="10"/>
        <v>3.0018867924528294</v>
      </c>
      <c r="S62" s="1">
        <f t="shared" si="11"/>
        <v>-0.28301886792452829</v>
      </c>
      <c r="U62" s="1">
        <f t="shared" si="12"/>
        <v>110.64658241367033</v>
      </c>
      <c r="V62" s="1">
        <f t="shared" si="13"/>
        <v>2543260.4407186233</v>
      </c>
      <c r="W62" s="1">
        <f t="shared" si="14"/>
        <v>55.011609113563424</v>
      </c>
      <c r="X62" s="1">
        <f t="shared" si="15"/>
        <v>4.6439823832981047E-3</v>
      </c>
      <c r="Y62" s="1">
        <f t="shared" si="16"/>
        <v>23.330722677109289</v>
      </c>
      <c r="Z62" s="1">
        <f t="shared" si="17"/>
        <v>8.4593173727305011</v>
      </c>
      <c r="AA62" s="1">
        <f t="shared" si="18"/>
        <v>9.0113243147027369</v>
      </c>
      <c r="AB62" s="1">
        <f t="shared" si="19"/>
        <v>8.0099679601281587E-2</v>
      </c>
    </row>
    <row r="63" spans="2:28" x14ac:dyDescent="0.3">
      <c r="B63" s="1">
        <v>3</v>
      </c>
      <c r="C63" s="1">
        <v>90</v>
      </c>
      <c r="D63" s="1">
        <f t="shared" si="1"/>
        <v>2522.134448423129</v>
      </c>
      <c r="E63" s="1">
        <v>44.8</v>
      </c>
      <c r="F63" s="2">
        <f t="shared" si="2"/>
        <v>3.267594009846661E-2</v>
      </c>
      <c r="G63" s="1">
        <v>8</v>
      </c>
      <c r="H63" s="1">
        <v>24.6</v>
      </c>
      <c r="I63" s="1">
        <v>0.1</v>
      </c>
      <c r="J63" s="3">
        <f t="shared" si="3"/>
        <v>0</v>
      </c>
      <c r="L63" s="1">
        <f t="shared" si="4"/>
        <v>69.481132075471692</v>
      </c>
      <c r="M63" s="1">
        <f t="shared" si="5"/>
        <v>-9996.2556482567834</v>
      </c>
      <c r="N63" s="1">
        <f t="shared" si="6"/>
        <v>3.2169811320754604</v>
      </c>
      <c r="O63" s="2">
        <f t="shared" si="7"/>
        <v>-7.3816212656292415E-2</v>
      </c>
      <c r="P63" s="1">
        <f t="shared" si="8"/>
        <v>2.8301886792452828</v>
      </c>
      <c r="Q63" s="1">
        <f t="shared" si="9"/>
        <v>16.791509433962268</v>
      </c>
      <c r="R63" s="1">
        <f t="shared" si="10"/>
        <v>-2.9981132075471701</v>
      </c>
      <c r="S63" s="1">
        <f t="shared" si="11"/>
        <v>-0.28301886792452829</v>
      </c>
      <c r="U63" s="1">
        <f t="shared" si="12"/>
        <v>4827.627714489141</v>
      </c>
      <c r="V63" s="1">
        <f t="shared" si="13"/>
        <v>99925126.985305652</v>
      </c>
      <c r="W63" s="1">
        <f t="shared" si="14"/>
        <v>10.348967604129511</v>
      </c>
      <c r="X63" s="1">
        <f t="shared" si="15"/>
        <v>5.4488332509189845E-3</v>
      </c>
      <c r="Y63" s="1">
        <f t="shared" si="16"/>
        <v>8.0099679601281579</v>
      </c>
      <c r="Z63" s="1">
        <f t="shared" si="17"/>
        <v>281.95478907084384</v>
      </c>
      <c r="AA63" s="1">
        <f t="shared" si="18"/>
        <v>8.9886828052687804</v>
      </c>
      <c r="AB63" s="1">
        <f t="shared" si="19"/>
        <v>8.0099679601281587E-2</v>
      </c>
    </row>
    <row r="64" spans="2:28" x14ac:dyDescent="0.3">
      <c r="B64" s="1">
        <v>1.6</v>
      </c>
      <c r="C64" s="1">
        <v>4</v>
      </c>
      <c r="D64" s="1">
        <f t="shared" si="1"/>
        <v>15358.398216942231</v>
      </c>
      <c r="E64" s="1">
        <v>49.8</v>
      </c>
      <c r="F64" s="2">
        <f t="shared" si="2"/>
        <v>0.50896035304883158</v>
      </c>
      <c r="G64" s="1">
        <v>1</v>
      </c>
      <c r="H64" s="1">
        <v>8.1</v>
      </c>
      <c r="I64" s="1">
        <v>5.6</v>
      </c>
      <c r="J64" s="3">
        <f t="shared" si="3"/>
        <v>0</v>
      </c>
      <c r="L64" s="1">
        <f t="shared" si="4"/>
        <v>-16.518867924528301</v>
      </c>
      <c r="M64" s="1">
        <f t="shared" si="5"/>
        <v>2840.0081202623187</v>
      </c>
      <c r="N64" s="1">
        <f t="shared" si="6"/>
        <v>8.2169811320754604</v>
      </c>
      <c r="O64" s="2">
        <f t="shared" si="7"/>
        <v>0.40246820029407254</v>
      </c>
      <c r="P64" s="1">
        <f t="shared" si="8"/>
        <v>-4.1698113207547172</v>
      </c>
      <c r="Q64" s="1">
        <f t="shared" si="9"/>
        <v>0.29150943396226481</v>
      </c>
      <c r="R64" s="1">
        <f t="shared" si="10"/>
        <v>2.5018867924528294</v>
      </c>
      <c r="S64" s="1">
        <f t="shared" si="11"/>
        <v>-0.28301886792452829</v>
      </c>
      <c r="U64" s="1">
        <f t="shared" si="12"/>
        <v>272.87299750800997</v>
      </c>
      <c r="V64" s="1">
        <f t="shared" si="13"/>
        <v>8065646.1231559087</v>
      </c>
      <c r="W64" s="1">
        <f t="shared" si="14"/>
        <v>67.518778924884117</v>
      </c>
      <c r="X64" s="1">
        <f t="shared" si="15"/>
        <v>0.16198065224794969</v>
      </c>
      <c r="Y64" s="1">
        <f t="shared" si="16"/>
        <v>17.3873264506942</v>
      </c>
      <c r="Z64" s="1">
        <f t="shared" si="17"/>
        <v>8.497775008900002E-2</v>
      </c>
      <c r="AA64" s="1">
        <f t="shared" si="18"/>
        <v>6.2594375222499075</v>
      </c>
      <c r="AB64" s="1">
        <f t="shared" si="19"/>
        <v>8.0099679601281587E-2</v>
      </c>
    </row>
    <row r="65" spans="2:28" x14ac:dyDescent="0.3">
      <c r="B65" s="1">
        <v>1.5</v>
      </c>
      <c r="C65" s="1">
        <v>3</v>
      </c>
      <c r="D65" s="1">
        <f t="shared" si="1"/>
        <v>20831.616334636037</v>
      </c>
      <c r="E65" s="1">
        <v>49.4</v>
      </c>
      <c r="F65" s="2">
        <f t="shared" si="2"/>
        <v>0.11387475760288493</v>
      </c>
      <c r="G65" s="1">
        <v>0</v>
      </c>
      <c r="H65" s="1">
        <v>8.5</v>
      </c>
      <c r="I65" s="1">
        <v>6.6</v>
      </c>
      <c r="J65" s="3">
        <f t="shared" si="3"/>
        <v>0</v>
      </c>
      <c r="L65" s="1">
        <f t="shared" si="4"/>
        <v>-17.518867924528301</v>
      </c>
      <c r="M65" s="1">
        <f t="shared" si="5"/>
        <v>8313.2262379561253</v>
      </c>
      <c r="N65" s="1">
        <f t="shared" si="6"/>
        <v>7.8169811320754619</v>
      </c>
      <c r="O65" s="2">
        <f t="shared" si="7"/>
        <v>7.3826048481259038E-3</v>
      </c>
      <c r="P65" s="1">
        <f t="shared" si="8"/>
        <v>-5.1698113207547172</v>
      </c>
      <c r="Q65" s="1">
        <f t="shared" si="9"/>
        <v>0.69150943396226516</v>
      </c>
      <c r="R65" s="1">
        <f t="shared" si="10"/>
        <v>3.5018867924528294</v>
      </c>
      <c r="S65" s="1">
        <f t="shared" si="11"/>
        <v>-0.28301886792452829</v>
      </c>
      <c r="U65" s="1">
        <f t="shared" si="12"/>
        <v>306.91073335706653</v>
      </c>
      <c r="V65" s="1">
        <f t="shared" si="13"/>
        <v>69109730.483442158</v>
      </c>
      <c r="W65" s="1">
        <f t="shared" si="14"/>
        <v>61.105194019223767</v>
      </c>
      <c r="X65" s="1">
        <f t="shared" si="15"/>
        <v>5.4502854343572098E-5</v>
      </c>
      <c r="Y65" s="1">
        <f t="shared" si="16"/>
        <v>26.726949092203633</v>
      </c>
      <c r="Z65" s="1">
        <f t="shared" si="17"/>
        <v>0.47818529725881237</v>
      </c>
      <c r="AA65" s="1">
        <f t="shared" si="18"/>
        <v>12.263211107155566</v>
      </c>
      <c r="AB65" s="1">
        <f t="shared" si="19"/>
        <v>8.0099679601281587E-2</v>
      </c>
    </row>
    <row r="66" spans="2:28" x14ac:dyDescent="0.3">
      <c r="B66" s="1">
        <v>1.4</v>
      </c>
      <c r="C66" s="1">
        <v>3</v>
      </c>
      <c r="D66" s="1">
        <f t="shared" si="1"/>
        <v>32678.384863365805</v>
      </c>
      <c r="E66" s="1">
        <v>46.7</v>
      </c>
      <c r="F66" s="2">
        <f t="shared" si="2"/>
        <v>0.22365003242925471</v>
      </c>
      <c r="G66" s="1">
        <v>1</v>
      </c>
      <c r="H66" s="1">
        <v>6.8</v>
      </c>
      <c r="I66" s="1">
        <v>4.7</v>
      </c>
      <c r="J66" s="3">
        <f t="shared" si="3"/>
        <v>0</v>
      </c>
      <c r="L66" s="1">
        <f t="shared" si="4"/>
        <v>-17.518867924528301</v>
      </c>
      <c r="M66" s="1">
        <f t="shared" si="5"/>
        <v>20159.994766685893</v>
      </c>
      <c r="N66" s="1">
        <f t="shared" si="6"/>
        <v>5.1169811320754661</v>
      </c>
      <c r="O66" s="2">
        <f t="shared" si="7"/>
        <v>0.11715787967449569</v>
      </c>
      <c r="P66" s="1">
        <f t="shared" si="8"/>
        <v>-4.1698113207547172</v>
      </c>
      <c r="Q66" s="1">
        <f t="shared" si="9"/>
        <v>-1.008490566037735</v>
      </c>
      <c r="R66" s="1">
        <f t="shared" si="10"/>
        <v>1.6018867924528299</v>
      </c>
      <c r="S66" s="1">
        <f t="shared" si="11"/>
        <v>-0.28301886792452829</v>
      </c>
      <c r="U66" s="1">
        <f t="shared" si="12"/>
        <v>306.91073335706653</v>
      </c>
      <c r="V66" s="1">
        <f t="shared" si="13"/>
        <v>406425388.99280262</v>
      </c>
      <c r="W66" s="1">
        <f t="shared" si="14"/>
        <v>26.183495906016319</v>
      </c>
      <c r="X66" s="1">
        <f t="shared" si="15"/>
        <v>1.3725968769823609E-2</v>
      </c>
      <c r="Y66" s="1">
        <f t="shared" si="16"/>
        <v>17.3873264506942</v>
      </c>
      <c r="Z66" s="1">
        <f t="shared" si="17"/>
        <v>1.0170532217871111</v>
      </c>
      <c r="AA66" s="1">
        <f t="shared" si="18"/>
        <v>2.566041295834816</v>
      </c>
      <c r="AB66" s="1">
        <f t="shared" si="19"/>
        <v>8.0099679601281587E-2</v>
      </c>
    </row>
    <row r="67" spans="2:28" x14ac:dyDescent="0.3">
      <c r="B67" s="1">
        <v>1.3</v>
      </c>
      <c r="C67" s="1">
        <v>6</v>
      </c>
      <c r="D67" s="1">
        <f t="shared" si="1"/>
        <v>9230.6278181449907</v>
      </c>
      <c r="E67" s="1">
        <v>40.299999999999997</v>
      </c>
      <c r="F67" s="2">
        <f t="shared" si="2"/>
        <v>1.4399718917486731E-2</v>
      </c>
      <c r="G67" s="1">
        <v>5</v>
      </c>
      <c r="H67" s="1">
        <v>17.2</v>
      </c>
      <c r="I67" s="1">
        <v>4.3</v>
      </c>
      <c r="J67" s="3">
        <f t="shared" si="3"/>
        <v>0</v>
      </c>
      <c r="L67" s="1">
        <f t="shared" si="4"/>
        <v>-14.518867924528301</v>
      </c>
      <c r="M67" s="1">
        <f t="shared" si="5"/>
        <v>-3287.7622785349213</v>
      </c>
      <c r="N67" s="1">
        <f t="shared" si="6"/>
        <v>-1.2830188679245396</v>
      </c>
      <c r="O67" s="2">
        <f t="shared" si="7"/>
        <v>-9.2092433837272294E-2</v>
      </c>
      <c r="P67" s="1">
        <f t="shared" si="8"/>
        <v>-0.16981132075471717</v>
      </c>
      <c r="Q67" s="1">
        <f t="shared" si="9"/>
        <v>9.3915094339622645</v>
      </c>
      <c r="R67" s="1">
        <f t="shared" si="10"/>
        <v>1.2018867924528296</v>
      </c>
      <c r="S67" s="1">
        <f t="shared" si="11"/>
        <v>-0.28301886792452829</v>
      </c>
      <c r="U67" s="1">
        <f t="shared" si="12"/>
        <v>210.79752580989674</v>
      </c>
      <c r="V67" s="1">
        <f t="shared" si="13"/>
        <v>10809380.800157137</v>
      </c>
      <c r="W67" s="1">
        <f t="shared" si="14"/>
        <v>1.6461374154503672</v>
      </c>
      <c r="X67" s="1">
        <f t="shared" si="15"/>
        <v>8.4810163700723747E-3</v>
      </c>
      <c r="Y67" s="1">
        <f t="shared" si="16"/>
        <v>2.8835884656461436E-2</v>
      </c>
      <c r="Z67" s="1">
        <f t="shared" si="17"/>
        <v>88.200449448202207</v>
      </c>
      <c r="AA67" s="1">
        <f t="shared" si="18"/>
        <v>1.4445318618725511</v>
      </c>
      <c r="AB67" s="1">
        <f t="shared" si="19"/>
        <v>8.0099679601281587E-2</v>
      </c>
    </row>
    <row r="68" spans="2:28" x14ac:dyDescent="0.3">
      <c r="B68" s="1">
        <v>3.9</v>
      </c>
      <c r="C68" s="1">
        <v>50</v>
      </c>
      <c r="D68" s="1">
        <f t="shared" ref="D68:D108" si="20">D265*1000000/B265</f>
        <v>1260.8951393552957</v>
      </c>
      <c r="E68" s="1">
        <v>48.3</v>
      </c>
      <c r="F68" s="2">
        <f t="shared" ref="F68:F108" si="21">C265/B265</f>
        <v>7.2586713857901511E-2</v>
      </c>
      <c r="G68" s="1">
        <v>2</v>
      </c>
      <c r="H68" s="1">
        <v>2.5</v>
      </c>
      <c r="I68" s="1">
        <v>0.2</v>
      </c>
      <c r="J68" s="3">
        <f t="shared" ref="J68:J108" si="22">IF(H68&gt;4,0,1)</f>
        <v>1</v>
      </c>
      <c r="L68" s="1">
        <f t="shared" ref="L68:L108" si="23">C68-$C$109</f>
        <v>29.481132075471699</v>
      </c>
      <c r="M68" s="1">
        <f t="shared" ref="M68:M108" si="24">D68-$D$109</f>
        <v>-11257.494957324616</v>
      </c>
      <c r="N68" s="1">
        <f t="shared" ref="N68:N108" si="25">E68-$E$109</f>
        <v>6.7169811320754604</v>
      </c>
      <c r="O68" s="2">
        <f t="shared" ref="O68:O108" si="26">F68-$F$109</f>
        <v>-3.3905438896857515E-2</v>
      </c>
      <c r="P68" s="1">
        <f t="shared" ref="P68:P108" si="27">G68-$G$109</f>
        <v>-3.1698113207547172</v>
      </c>
      <c r="Q68" s="1">
        <f t="shared" ref="Q68:Q108" si="28">H68-$H$109</f>
        <v>-5.3084905660377348</v>
      </c>
      <c r="R68" s="1">
        <f t="shared" ref="R68:R108" si="29">I68-$I$109</f>
        <v>-2.8981132075471701</v>
      </c>
      <c r="S68" s="1">
        <f t="shared" ref="S68:S108" si="30">J68-$J$109</f>
        <v>0.71698113207547176</v>
      </c>
      <c r="U68" s="1">
        <f t="shared" ref="U68:U107" si="31">L68^2</f>
        <v>869.13714845140623</v>
      </c>
      <c r="V68" s="1">
        <f t="shared" ref="V68:V108" si="32">M68^2</f>
        <v>126731192.71418916</v>
      </c>
      <c r="W68" s="1">
        <f t="shared" ref="W68:W108" si="33">N68^2</f>
        <v>45.117835528657736</v>
      </c>
      <c r="X68" s="1">
        <f t="shared" ref="X68:X108" si="34">O68^2</f>
        <v>1.1495787867885385E-3</v>
      </c>
      <c r="Y68" s="1">
        <f t="shared" ref="Y68:Y108" si="35">P68^2</f>
        <v>10.047703809184764</v>
      </c>
      <c r="Z68" s="1">
        <f t="shared" ref="Z68:Z108" si="36">Q68^2</f>
        <v>28.180072089711629</v>
      </c>
      <c r="AA68" s="1">
        <f t="shared" ref="AA68:AA108" si="37">R68^2</f>
        <v>8.3990601637593461</v>
      </c>
      <c r="AB68" s="1">
        <f t="shared" ref="AB68:AB108" si="38">S68^2</f>
        <v>0.51406194375222514</v>
      </c>
    </row>
    <row r="69" spans="2:28" x14ac:dyDescent="0.3">
      <c r="B69" s="1">
        <v>1.8</v>
      </c>
      <c r="C69" s="1">
        <v>9</v>
      </c>
      <c r="D69" s="1">
        <f t="shared" si="20"/>
        <v>16236.918254863691</v>
      </c>
      <c r="E69" s="1">
        <v>38.799999999999997</v>
      </c>
      <c r="F69" s="2">
        <f t="shared" si="21"/>
        <v>6.1793241728766045E-3</v>
      </c>
      <c r="G69" s="1">
        <v>2</v>
      </c>
      <c r="H69" s="1">
        <v>4.5</v>
      </c>
      <c r="I69" s="1">
        <v>1.9</v>
      </c>
      <c r="J69" s="3">
        <f t="shared" si="22"/>
        <v>0</v>
      </c>
      <c r="L69" s="1">
        <f t="shared" si="23"/>
        <v>-11.518867924528301</v>
      </c>
      <c r="M69" s="1">
        <f t="shared" si="24"/>
        <v>3718.5281581837789</v>
      </c>
      <c r="N69" s="1">
        <f t="shared" si="25"/>
        <v>-2.7830188679245396</v>
      </c>
      <c r="O69" s="2">
        <f t="shared" si="26"/>
        <v>-0.10031282858188242</v>
      </c>
      <c r="P69" s="1">
        <f t="shared" si="27"/>
        <v>-3.1698113207547172</v>
      </c>
      <c r="Q69" s="1">
        <f t="shared" si="28"/>
        <v>-3.3084905660377348</v>
      </c>
      <c r="R69" s="1">
        <f t="shared" si="29"/>
        <v>-1.1981132075471703</v>
      </c>
      <c r="S69" s="1">
        <f t="shared" si="30"/>
        <v>-0.28301886792452829</v>
      </c>
      <c r="U69" s="1">
        <f t="shared" si="31"/>
        <v>132.68431826272695</v>
      </c>
      <c r="V69" s="1">
        <f t="shared" si="32"/>
        <v>13827451.663205648</v>
      </c>
      <c r="W69" s="1">
        <f t="shared" si="33"/>
        <v>7.7451940192239856</v>
      </c>
      <c r="X69" s="1">
        <f t="shared" si="34"/>
        <v>1.0062663578098128E-2</v>
      </c>
      <c r="Y69" s="1">
        <f t="shared" si="35"/>
        <v>10.047703809184764</v>
      </c>
      <c r="Z69" s="1">
        <f t="shared" si="36"/>
        <v>10.946109825560692</v>
      </c>
      <c r="AA69" s="1">
        <f t="shared" si="37"/>
        <v>1.4354752580989689</v>
      </c>
      <c r="AB69" s="1">
        <f t="shared" si="38"/>
        <v>8.0099679601281587E-2</v>
      </c>
    </row>
    <row r="70" spans="2:28" x14ac:dyDescent="0.3">
      <c r="B70" s="1">
        <v>1.7</v>
      </c>
      <c r="C70" s="1">
        <v>7</v>
      </c>
      <c r="D70" s="1">
        <f t="shared" si="20"/>
        <v>5905.606204120294</v>
      </c>
      <c r="E70" s="1">
        <v>24.7</v>
      </c>
      <c r="F70" s="2">
        <f t="shared" si="21"/>
        <v>1.8499881600757755E-2</v>
      </c>
      <c r="G70" s="1">
        <v>0</v>
      </c>
      <c r="H70" s="1">
        <v>6.3</v>
      </c>
      <c r="I70" s="1">
        <v>4.3</v>
      </c>
      <c r="J70" s="3">
        <f t="shared" si="22"/>
        <v>0</v>
      </c>
      <c r="L70" s="1">
        <f t="shared" si="23"/>
        <v>-13.518867924528301</v>
      </c>
      <c r="M70" s="1">
        <f t="shared" si="24"/>
        <v>-6612.7838925596179</v>
      </c>
      <c r="N70" s="1">
        <f t="shared" si="25"/>
        <v>-16.883018867924537</v>
      </c>
      <c r="O70" s="2">
        <f t="shared" si="26"/>
        <v>-8.7992271154001267E-2</v>
      </c>
      <c r="P70" s="1">
        <f t="shared" si="27"/>
        <v>-5.1698113207547172</v>
      </c>
      <c r="Q70" s="1">
        <f t="shared" si="28"/>
        <v>-1.508490566037735</v>
      </c>
      <c r="R70" s="1">
        <f t="shared" si="29"/>
        <v>1.2018867924528296</v>
      </c>
      <c r="S70" s="1">
        <f t="shared" si="30"/>
        <v>-0.28301886792452829</v>
      </c>
      <c r="U70" s="1">
        <f t="shared" si="31"/>
        <v>182.75978996084015</v>
      </c>
      <c r="V70" s="1">
        <f t="shared" si="32"/>
        <v>43728910.809695929</v>
      </c>
      <c r="W70" s="1">
        <f t="shared" si="33"/>
        <v>285.03632609469594</v>
      </c>
      <c r="X70" s="1">
        <f t="shared" si="34"/>
        <v>7.7426397828392838E-3</v>
      </c>
      <c r="Y70" s="1">
        <f t="shared" si="35"/>
        <v>26.726949092203633</v>
      </c>
      <c r="Z70" s="1">
        <f t="shared" si="36"/>
        <v>2.2755437878248461</v>
      </c>
      <c r="AA70" s="1">
        <f t="shared" si="37"/>
        <v>1.4445318618725511</v>
      </c>
      <c r="AB70" s="1">
        <f t="shared" si="38"/>
        <v>8.0099679601281587E-2</v>
      </c>
    </row>
    <row r="71" spans="2:28" x14ac:dyDescent="0.3">
      <c r="B71" s="1">
        <v>2.4</v>
      </c>
      <c r="C71" s="1">
        <v>19</v>
      </c>
      <c r="D71" s="1">
        <f t="shared" si="20"/>
        <v>4412.5610665348886</v>
      </c>
      <c r="E71" s="1">
        <v>25.2</v>
      </c>
      <c r="F71" s="2">
        <f t="shared" si="21"/>
        <v>2.7092517696832561E-4</v>
      </c>
      <c r="G71" s="1">
        <v>0</v>
      </c>
      <c r="H71" s="1">
        <v>11.5</v>
      </c>
      <c r="I71" s="1">
        <v>1</v>
      </c>
      <c r="J71" s="3">
        <f t="shared" si="22"/>
        <v>0</v>
      </c>
      <c r="L71" s="1">
        <f t="shared" si="23"/>
        <v>-1.5188679245283012</v>
      </c>
      <c r="M71" s="1">
        <f t="shared" si="24"/>
        <v>-8105.8290301450234</v>
      </c>
      <c r="N71" s="1">
        <f t="shared" si="25"/>
        <v>-16.383018867924537</v>
      </c>
      <c r="O71" s="2">
        <f t="shared" si="26"/>
        <v>-0.10622122757779071</v>
      </c>
      <c r="P71" s="1">
        <f t="shared" si="27"/>
        <v>-5.1698113207547172</v>
      </c>
      <c r="Q71" s="1">
        <f t="shared" si="28"/>
        <v>3.6915094339622652</v>
      </c>
      <c r="R71" s="1">
        <f t="shared" si="29"/>
        <v>-2.0981132075471702</v>
      </c>
      <c r="S71" s="1">
        <f t="shared" si="30"/>
        <v>-0.28301886792452829</v>
      </c>
      <c r="U71" s="1">
        <f t="shared" si="31"/>
        <v>2.3069597721609094</v>
      </c>
      <c r="V71" s="1">
        <f t="shared" si="32"/>
        <v>65704464.265941814</v>
      </c>
      <c r="W71" s="1">
        <f t="shared" si="33"/>
        <v>268.4033072267714</v>
      </c>
      <c r="X71" s="1">
        <f t="shared" si="34"/>
        <v>1.1282949188132805E-2</v>
      </c>
      <c r="Y71" s="1">
        <f t="shared" si="35"/>
        <v>26.726949092203633</v>
      </c>
      <c r="Z71" s="1">
        <f t="shared" si="36"/>
        <v>13.627241901032404</v>
      </c>
      <c r="AA71" s="1">
        <f t="shared" si="37"/>
        <v>4.4020790316838747</v>
      </c>
      <c r="AB71" s="1">
        <f t="shared" si="38"/>
        <v>8.0099679601281587E-2</v>
      </c>
    </row>
    <row r="72" spans="2:28" x14ac:dyDescent="0.3">
      <c r="B72" s="1">
        <v>1.4</v>
      </c>
      <c r="C72" s="1">
        <v>17</v>
      </c>
      <c r="D72" s="1">
        <f t="shared" si="20"/>
        <v>14138.459215831819</v>
      </c>
      <c r="E72" s="1">
        <v>38.799999999999997</v>
      </c>
      <c r="F72" s="2">
        <f t="shared" si="21"/>
        <v>7.8630693648527091E-3</v>
      </c>
      <c r="G72" s="1">
        <v>0</v>
      </c>
      <c r="H72" s="1">
        <v>7.4</v>
      </c>
      <c r="I72" s="1">
        <v>3.4</v>
      </c>
      <c r="J72" s="3">
        <f t="shared" si="22"/>
        <v>0</v>
      </c>
      <c r="L72" s="1">
        <f t="shared" si="23"/>
        <v>-3.5188679245283012</v>
      </c>
      <c r="M72" s="1">
        <f t="shared" si="24"/>
        <v>1620.0691191519072</v>
      </c>
      <c r="N72" s="1">
        <f t="shared" si="25"/>
        <v>-2.7830188679245396</v>
      </c>
      <c r="O72" s="2">
        <f t="shared" si="26"/>
        <v>-9.8629083389906322E-2</v>
      </c>
      <c r="P72" s="1">
        <f t="shared" si="27"/>
        <v>-5.1698113207547172</v>
      </c>
      <c r="Q72" s="1">
        <f t="shared" si="28"/>
        <v>-0.40849056603773448</v>
      </c>
      <c r="R72" s="1">
        <f t="shared" si="29"/>
        <v>0.30188679245282968</v>
      </c>
      <c r="S72" s="1">
        <f t="shared" si="30"/>
        <v>-0.28301886792452829</v>
      </c>
      <c r="U72" s="1">
        <f t="shared" si="31"/>
        <v>12.382431470274113</v>
      </c>
      <c r="V72" s="1">
        <f t="shared" si="32"/>
        <v>2624623.9508296368</v>
      </c>
      <c r="W72" s="1">
        <f t="shared" si="33"/>
        <v>7.7451940192239856</v>
      </c>
      <c r="X72" s="1">
        <f t="shared" si="34"/>
        <v>9.7276960903330944E-3</v>
      </c>
      <c r="Y72" s="1">
        <f t="shared" si="35"/>
        <v>26.726949092203633</v>
      </c>
      <c r="Z72" s="1">
        <f t="shared" si="36"/>
        <v>0.16686454254182873</v>
      </c>
      <c r="AA72" s="1">
        <f t="shared" si="37"/>
        <v>9.1135635457457856E-2</v>
      </c>
      <c r="AB72" s="1">
        <f t="shared" si="38"/>
        <v>8.0099679601281587E-2</v>
      </c>
    </row>
    <row r="73" spans="2:28" x14ac:dyDescent="0.3">
      <c r="B73" s="1">
        <v>4.5</v>
      </c>
      <c r="C73" s="1">
        <v>71</v>
      </c>
      <c r="D73" s="1">
        <f t="shared" si="20"/>
        <v>2833.4019405298195</v>
      </c>
      <c r="E73" s="1">
        <v>32</v>
      </c>
      <c r="F73" s="2">
        <f t="shared" si="21"/>
        <v>2.1506958146169028E-3</v>
      </c>
      <c r="G73" s="1">
        <v>23</v>
      </c>
      <c r="H73" s="1">
        <v>11.3</v>
      </c>
      <c r="I73" s="1">
        <v>0.2</v>
      </c>
      <c r="J73" s="3">
        <f t="shared" si="22"/>
        <v>0</v>
      </c>
      <c r="L73" s="1">
        <f t="shared" si="23"/>
        <v>50.481132075471699</v>
      </c>
      <c r="M73" s="1">
        <f t="shared" si="24"/>
        <v>-9684.9881561500915</v>
      </c>
      <c r="N73" s="1">
        <f t="shared" si="25"/>
        <v>-9.5830188679245367</v>
      </c>
      <c r="O73" s="2">
        <f t="shared" si="26"/>
        <v>-0.10434145694014213</v>
      </c>
      <c r="P73" s="1">
        <f t="shared" si="27"/>
        <v>17.830188679245282</v>
      </c>
      <c r="Q73" s="1">
        <f t="shared" si="28"/>
        <v>3.4915094339622659</v>
      </c>
      <c r="R73" s="1">
        <f t="shared" si="29"/>
        <v>-2.8981132075471701</v>
      </c>
      <c r="S73" s="1">
        <f t="shared" si="30"/>
        <v>-0.28301886792452829</v>
      </c>
      <c r="U73" s="1">
        <f t="shared" si="31"/>
        <v>2548.3446956212174</v>
      </c>
      <c r="V73" s="1">
        <f t="shared" si="32"/>
        <v>93798995.58476755</v>
      </c>
      <c r="W73" s="1">
        <f t="shared" si="33"/>
        <v>91.834250622997672</v>
      </c>
      <c r="X73" s="1">
        <f t="shared" si="34"/>
        <v>1.0887139636391534E-2</v>
      </c>
      <c r="Y73" s="1">
        <f t="shared" si="35"/>
        <v>317.91562833748662</v>
      </c>
      <c r="Z73" s="1">
        <f t="shared" si="36"/>
        <v>12.190638127447503</v>
      </c>
      <c r="AA73" s="1">
        <f t="shared" si="37"/>
        <v>8.3990601637593461</v>
      </c>
      <c r="AB73" s="1">
        <f t="shared" si="38"/>
        <v>8.0099679601281587E-2</v>
      </c>
    </row>
    <row r="74" spans="2:28" x14ac:dyDescent="0.3">
      <c r="B74" s="1">
        <v>1.9</v>
      </c>
      <c r="C74" s="1">
        <v>14</v>
      </c>
      <c r="D74" s="1">
        <f t="shared" si="20"/>
        <v>10666.215201346085</v>
      </c>
      <c r="E74" s="1">
        <v>38</v>
      </c>
      <c r="F74" s="2">
        <f t="shared" si="21"/>
        <v>5.6153303420116998E-2</v>
      </c>
      <c r="G74" s="1">
        <v>1</v>
      </c>
      <c r="H74" s="1">
        <v>4.4000000000000004</v>
      </c>
      <c r="I74" s="1">
        <v>1.5</v>
      </c>
      <c r="J74" s="3">
        <f t="shared" si="22"/>
        <v>0</v>
      </c>
      <c r="L74" s="1">
        <f t="shared" si="23"/>
        <v>-6.5188679245283012</v>
      </c>
      <c r="M74" s="1">
        <f t="shared" si="24"/>
        <v>-1852.1748953338265</v>
      </c>
      <c r="N74" s="1">
        <f t="shared" si="25"/>
        <v>-3.5830188679245367</v>
      </c>
      <c r="O74" s="2">
        <f t="shared" si="26"/>
        <v>-5.0338849334642027E-2</v>
      </c>
      <c r="P74" s="1">
        <f t="shared" si="27"/>
        <v>-4.1698113207547172</v>
      </c>
      <c r="Q74" s="1">
        <f t="shared" si="28"/>
        <v>-3.4084905660377345</v>
      </c>
      <c r="R74" s="1">
        <f t="shared" si="29"/>
        <v>-1.5981132075471702</v>
      </c>
      <c r="S74" s="1">
        <f t="shared" si="30"/>
        <v>-0.28301886792452829</v>
      </c>
      <c r="U74" s="1">
        <f t="shared" si="31"/>
        <v>42.495639017443921</v>
      </c>
      <c r="V74" s="1">
        <f t="shared" si="32"/>
        <v>3430551.8429048713</v>
      </c>
      <c r="W74" s="1">
        <f t="shared" si="33"/>
        <v>12.838024207903228</v>
      </c>
      <c r="X74" s="1">
        <f t="shared" si="34"/>
        <v>2.5339997523357899E-3</v>
      </c>
      <c r="Y74" s="1">
        <f t="shared" si="35"/>
        <v>17.3873264506942</v>
      </c>
      <c r="Z74" s="1">
        <f t="shared" si="36"/>
        <v>11.617807938768236</v>
      </c>
      <c r="AA74" s="1">
        <f t="shared" si="37"/>
        <v>2.5539658241367049</v>
      </c>
      <c r="AB74" s="1">
        <f t="shared" si="38"/>
        <v>8.0099679601281587E-2</v>
      </c>
    </row>
    <row r="75" spans="2:28" x14ac:dyDescent="0.3">
      <c r="B75" s="1">
        <v>1.8</v>
      </c>
      <c r="C75" s="1">
        <v>15</v>
      </c>
      <c r="D75" s="1">
        <f t="shared" si="20"/>
        <v>6134.6323702027012</v>
      </c>
      <c r="E75" s="1">
        <v>47.7</v>
      </c>
      <c r="F75" s="2">
        <f t="shared" si="21"/>
        <v>9.9158073586693776E-3</v>
      </c>
      <c r="G75" s="1">
        <v>1</v>
      </c>
      <c r="H75" s="1">
        <v>3.8</v>
      </c>
      <c r="I75" s="1">
        <v>5.8</v>
      </c>
      <c r="J75" s="3">
        <f t="shared" si="22"/>
        <v>1</v>
      </c>
      <c r="L75" s="1">
        <f t="shared" si="23"/>
        <v>-5.5188679245283012</v>
      </c>
      <c r="M75" s="1">
        <f t="shared" si="24"/>
        <v>-6383.7577264772108</v>
      </c>
      <c r="N75" s="1">
        <f t="shared" si="25"/>
        <v>6.1169811320754661</v>
      </c>
      <c r="O75" s="2">
        <f t="shared" si="26"/>
        <v>-9.6576345396089641E-2</v>
      </c>
      <c r="P75" s="1">
        <f t="shared" si="27"/>
        <v>-4.1698113207547172</v>
      </c>
      <c r="Q75" s="1">
        <f t="shared" si="28"/>
        <v>-4.008490566037735</v>
      </c>
      <c r="R75" s="1">
        <f t="shared" si="29"/>
        <v>2.7018867924528296</v>
      </c>
      <c r="S75" s="1">
        <f t="shared" si="30"/>
        <v>0.71698113207547176</v>
      </c>
      <c r="U75" s="1">
        <f t="shared" si="31"/>
        <v>30.457903168387318</v>
      </c>
      <c r="V75" s="1">
        <f t="shared" si="32"/>
        <v>40752362.710357487</v>
      </c>
      <c r="W75" s="1">
        <f t="shared" si="33"/>
        <v>37.417458170167251</v>
      </c>
      <c r="X75" s="1">
        <f t="shared" si="34"/>
        <v>9.326990490064805E-3</v>
      </c>
      <c r="Y75" s="1">
        <f t="shared" si="35"/>
        <v>17.3873264506942</v>
      </c>
      <c r="Z75" s="1">
        <f t="shared" si="36"/>
        <v>16.06799661801352</v>
      </c>
      <c r="AA75" s="1">
        <f t="shared" si="37"/>
        <v>7.3001922392310394</v>
      </c>
      <c r="AB75" s="1">
        <f t="shared" si="38"/>
        <v>0.51406194375222514</v>
      </c>
    </row>
    <row r="76" spans="2:28" x14ac:dyDescent="0.3">
      <c r="B76" s="1">
        <v>2.9</v>
      </c>
      <c r="C76" s="1">
        <v>15</v>
      </c>
      <c r="D76" s="1">
        <f t="shared" si="20"/>
        <v>7018.7597802512892</v>
      </c>
      <c r="E76" s="1">
        <v>44.8</v>
      </c>
      <c r="F76" s="2">
        <f t="shared" si="21"/>
        <v>0.35384300961781906</v>
      </c>
      <c r="G76" s="1">
        <v>1</v>
      </c>
      <c r="H76" s="1">
        <v>7</v>
      </c>
      <c r="I76" s="1">
        <v>8</v>
      </c>
      <c r="J76" s="3">
        <f t="shared" si="22"/>
        <v>0</v>
      </c>
      <c r="L76" s="1">
        <f t="shared" si="23"/>
        <v>-5.5188679245283012</v>
      </c>
      <c r="M76" s="1">
        <f t="shared" si="24"/>
        <v>-5499.6303164286228</v>
      </c>
      <c r="N76" s="1">
        <f t="shared" si="25"/>
        <v>3.2169811320754604</v>
      </c>
      <c r="O76" s="2">
        <f t="shared" si="26"/>
        <v>0.24735085686306002</v>
      </c>
      <c r="P76" s="1">
        <f t="shared" si="27"/>
        <v>-4.1698113207547172</v>
      </c>
      <c r="Q76" s="1">
        <f t="shared" si="28"/>
        <v>-0.80849056603773484</v>
      </c>
      <c r="R76" s="1">
        <f t="shared" si="29"/>
        <v>4.9018867924528298</v>
      </c>
      <c r="S76" s="1">
        <f t="shared" si="30"/>
        <v>-0.28301886792452829</v>
      </c>
      <c r="U76" s="1">
        <f t="shared" si="31"/>
        <v>30.457903168387318</v>
      </c>
      <c r="V76" s="1">
        <f t="shared" si="32"/>
        <v>30245933.617380794</v>
      </c>
      <c r="W76" s="1">
        <f t="shared" si="33"/>
        <v>10.348967604129511</v>
      </c>
      <c r="X76" s="1">
        <f t="shared" si="34"/>
        <v>6.1182446390890009E-2</v>
      </c>
      <c r="Y76" s="1">
        <f t="shared" si="35"/>
        <v>17.3873264506942</v>
      </c>
      <c r="Z76" s="1">
        <f t="shared" si="36"/>
        <v>0.65365699537201682</v>
      </c>
      <c r="AA76" s="1">
        <f t="shared" si="37"/>
        <v>24.028494126023492</v>
      </c>
      <c r="AB76" s="1">
        <f t="shared" si="38"/>
        <v>8.0099679601281587E-2</v>
      </c>
    </row>
    <row r="77" spans="2:28" x14ac:dyDescent="0.3">
      <c r="B77" s="1">
        <v>1.8</v>
      </c>
      <c r="C77" s="1">
        <v>2</v>
      </c>
      <c r="D77" s="1">
        <f t="shared" si="20"/>
        <v>12406.992258775352</v>
      </c>
      <c r="E77" s="1">
        <v>45.2</v>
      </c>
      <c r="F77" s="2">
        <f t="shared" si="21"/>
        <v>3.1843787117914357E-2</v>
      </c>
      <c r="G77" s="1">
        <v>0</v>
      </c>
      <c r="H77" s="1">
        <v>17.899999999999999</v>
      </c>
      <c r="I77" s="1">
        <v>3.9</v>
      </c>
      <c r="J77" s="3">
        <f t="shared" si="22"/>
        <v>0</v>
      </c>
      <c r="L77" s="1">
        <f t="shared" si="23"/>
        <v>-18.518867924528301</v>
      </c>
      <c r="M77" s="1">
        <f t="shared" si="24"/>
        <v>-111.39783790456022</v>
      </c>
      <c r="N77" s="1">
        <f t="shared" si="25"/>
        <v>3.6169811320754661</v>
      </c>
      <c r="O77" s="2">
        <f t="shared" si="26"/>
        <v>-7.4648365636844669E-2</v>
      </c>
      <c r="P77" s="1">
        <f t="shared" si="27"/>
        <v>-5.1698113207547172</v>
      </c>
      <c r="Q77" s="1">
        <f t="shared" si="28"/>
        <v>10.091509433962264</v>
      </c>
      <c r="R77" s="1">
        <f t="shared" si="29"/>
        <v>0.80188679245282968</v>
      </c>
      <c r="S77" s="1">
        <f t="shared" si="30"/>
        <v>-0.28301886792452829</v>
      </c>
      <c r="U77" s="1">
        <f t="shared" si="31"/>
        <v>342.94846920612315</v>
      </c>
      <c r="V77" s="1">
        <f t="shared" si="32"/>
        <v>12409.478289810673</v>
      </c>
      <c r="W77" s="1">
        <f t="shared" si="33"/>
        <v>13.08255250978992</v>
      </c>
      <c r="X77" s="1">
        <f t="shared" si="34"/>
        <v>5.5723784922520518E-3</v>
      </c>
      <c r="Y77" s="1">
        <f t="shared" si="35"/>
        <v>26.726949092203633</v>
      </c>
      <c r="Z77" s="1">
        <f t="shared" si="36"/>
        <v>101.83856265574937</v>
      </c>
      <c r="AA77" s="1">
        <f t="shared" si="37"/>
        <v>0.64302242791028752</v>
      </c>
      <c r="AB77" s="1">
        <f t="shared" si="38"/>
        <v>8.0099679601281587E-2</v>
      </c>
    </row>
    <row r="78" spans="2:28" x14ac:dyDescent="0.3">
      <c r="B78" s="1">
        <v>4.7</v>
      </c>
      <c r="C78" s="1">
        <v>71</v>
      </c>
      <c r="D78" s="1">
        <f t="shared" si="20"/>
        <v>894.30910176102168</v>
      </c>
      <c r="E78" s="1">
        <v>51.5</v>
      </c>
      <c r="F78" s="2">
        <f t="shared" si="21"/>
        <v>0.16061206634942052</v>
      </c>
      <c r="G78" s="1">
        <v>1</v>
      </c>
      <c r="H78" s="1">
        <v>3.8</v>
      </c>
      <c r="I78" s="1">
        <v>0.7</v>
      </c>
      <c r="J78" s="3">
        <f t="shared" si="22"/>
        <v>1</v>
      </c>
      <c r="L78" s="1">
        <f t="shared" si="23"/>
        <v>50.481132075471699</v>
      </c>
      <c r="M78" s="1">
        <f t="shared" si="24"/>
        <v>-11624.08099491889</v>
      </c>
      <c r="N78" s="1">
        <f t="shared" si="25"/>
        <v>9.9169811320754633</v>
      </c>
      <c r="O78" s="2">
        <f t="shared" si="26"/>
        <v>5.4119913594661492E-2</v>
      </c>
      <c r="P78" s="1">
        <f t="shared" si="27"/>
        <v>-4.1698113207547172</v>
      </c>
      <c r="Q78" s="1">
        <f t="shared" si="28"/>
        <v>-4.008490566037735</v>
      </c>
      <c r="R78" s="1">
        <f t="shared" si="29"/>
        <v>-2.3981132075471701</v>
      </c>
      <c r="S78" s="1">
        <f t="shared" si="30"/>
        <v>0.71698113207547176</v>
      </c>
      <c r="U78" s="1">
        <f t="shared" si="31"/>
        <v>2548.3446956212174</v>
      </c>
      <c r="V78" s="1">
        <f t="shared" si="32"/>
        <v>135119258.97643453</v>
      </c>
      <c r="W78" s="1">
        <f t="shared" si="33"/>
        <v>98.34651477394074</v>
      </c>
      <c r="X78" s="1">
        <f t="shared" si="34"/>
        <v>2.9289650474936257E-3</v>
      </c>
      <c r="Y78" s="1">
        <f t="shared" si="35"/>
        <v>17.3873264506942</v>
      </c>
      <c r="Z78" s="1">
        <f t="shared" si="36"/>
        <v>16.06799661801352</v>
      </c>
      <c r="AA78" s="1">
        <f t="shared" si="37"/>
        <v>5.750946956212176</v>
      </c>
      <c r="AB78" s="1">
        <f t="shared" si="38"/>
        <v>0.51406194375222514</v>
      </c>
    </row>
    <row r="79" spans="2:28" x14ac:dyDescent="0.3">
      <c r="B79" s="1">
        <v>3.3</v>
      </c>
      <c r="C79" s="1">
        <v>40</v>
      </c>
      <c r="D79" s="1">
        <f t="shared" si="20"/>
        <v>6461.6898309854168</v>
      </c>
      <c r="E79" s="1">
        <v>49.2</v>
      </c>
      <c r="F79" s="2">
        <f t="shared" si="21"/>
        <v>1.967802810415974E-2</v>
      </c>
      <c r="G79" s="1">
        <v>1</v>
      </c>
      <c r="H79" s="1">
        <v>21.4</v>
      </c>
      <c r="I79" s="1">
        <v>2.7</v>
      </c>
      <c r="J79" s="3">
        <f t="shared" si="22"/>
        <v>0</v>
      </c>
      <c r="L79" s="1">
        <f t="shared" si="23"/>
        <v>19.481132075471699</v>
      </c>
      <c r="M79" s="1">
        <f t="shared" si="24"/>
        <v>-6056.7002656944951</v>
      </c>
      <c r="N79" s="1">
        <f t="shared" si="25"/>
        <v>7.6169811320754661</v>
      </c>
      <c r="O79" s="2">
        <f t="shared" si="26"/>
        <v>-8.6814124650599289E-2</v>
      </c>
      <c r="P79" s="1">
        <f t="shared" si="27"/>
        <v>-4.1698113207547172</v>
      </c>
      <c r="Q79" s="1">
        <f t="shared" si="28"/>
        <v>13.591509433962264</v>
      </c>
      <c r="R79" s="1">
        <f t="shared" si="29"/>
        <v>-0.39811320754717006</v>
      </c>
      <c r="S79" s="1">
        <f t="shared" si="30"/>
        <v>-0.28301886792452829</v>
      </c>
      <c r="U79" s="1">
        <f t="shared" si="31"/>
        <v>379.51450694197229</v>
      </c>
      <c r="V79" s="1">
        <f t="shared" si="32"/>
        <v>36683618.108463764</v>
      </c>
      <c r="W79" s="1">
        <f t="shared" si="33"/>
        <v>58.018401566393649</v>
      </c>
      <c r="X79" s="1">
        <f t="shared" si="34"/>
        <v>7.5366922388497909E-3</v>
      </c>
      <c r="Y79" s="1">
        <f t="shared" si="35"/>
        <v>17.3873264506942</v>
      </c>
      <c r="Z79" s="1">
        <f t="shared" si="36"/>
        <v>184.72912869348522</v>
      </c>
      <c r="AA79" s="1">
        <f t="shared" si="37"/>
        <v>0.15849412602349611</v>
      </c>
      <c r="AB79" s="1">
        <f t="shared" si="38"/>
        <v>8.0099679601281587E-2</v>
      </c>
    </row>
    <row r="80" spans="2:28" x14ac:dyDescent="0.3">
      <c r="B80" s="1">
        <v>6.9</v>
      </c>
      <c r="C80" s="1">
        <v>78</v>
      </c>
      <c r="D80" s="1">
        <f t="shared" si="20"/>
        <v>970.51041028240013</v>
      </c>
      <c r="E80" s="1">
        <v>41.9</v>
      </c>
      <c r="F80" s="2">
        <f t="shared" si="21"/>
        <v>7.0228652926857598E-3</v>
      </c>
      <c r="G80" s="1">
        <v>41</v>
      </c>
      <c r="H80" s="1">
        <v>0.6</v>
      </c>
      <c r="I80" s="1">
        <v>0.4</v>
      </c>
      <c r="J80" s="3">
        <f t="shared" si="22"/>
        <v>1</v>
      </c>
      <c r="L80" s="1">
        <f t="shared" si="23"/>
        <v>57.481132075471699</v>
      </c>
      <c r="M80" s="1">
        <f t="shared" si="24"/>
        <v>-11547.879686397511</v>
      </c>
      <c r="N80" s="1">
        <f t="shared" si="25"/>
        <v>0.31698113207546186</v>
      </c>
      <c r="O80" s="2">
        <f t="shared" si="26"/>
        <v>-9.9469287462073272E-2</v>
      </c>
      <c r="P80" s="1">
        <f t="shared" si="27"/>
        <v>35.830188679245282</v>
      </c>
      <c r="Q80" s="1">
        <f t="shared" si="28"/>
        <v>-7.2084905660377352</v>
      </c>
      <c r="R80" s="1">
        <f t="shared" si="29"/>
        <v>-2.6981132075471703</v>
      </c>
      <c r="S80" s="1">
        <f t="shared" si="30"/>
        <v>0.71698113207547176</v>
      </c>
      <c r="U80" s="1">
        <f t="shared" si="31"/>
        <v>3304.0805446778213</v>
      </c>
      <c r="V80" s="1">
        <f t="shared" si="32"/>
        <v>133353525.25151229</v>
      </c>
      <c r="W80" s="1">
        <f t="shared" si="33"/>
        <v>0.1004770380918414</v>
      </c>
      <c r="X80" s="1">
        <f t="shared" si="34"/>
        <v>9.8941391482125669E-3</v>
      </c>
      <c r="Y80" s="1">
        <f t="shared" si="35"/>
        <v>1283.8024207903168</v>
      </c>
      <c r="Z80" s="1">
        <f t="shared" si="36"/>
        <v>51.962336240655027</v>
      </c>
      <c r="AA80" s="1">
        <f t="shared" si="37"/>
        <v>7.2798148807404797</v>
      </c>
      <c r="AB80" s="1">
        <f t="shared" si="38"/>
        <v>0.51406194375222514</v>
      </c>
    </row>
    <row r="81" spans="2:28" x14ac:dyDescent="0.3">
      <c r="B81" s="1">
        <v>1.5</v>
      </c>
      <c r="C81" s="1">
        <v>2</v>
      </c>
      <c r="D81" s="1">
        <f t="shared" si="20"/>
        <v>26000.44897469048</v>
      </c>
      <c r="E81" s="1">
        <v>48.4</v>
      </c>
      <c r="F81" s="2">
        <f t="shared" si="21"/>
        <v>0.11067576593624966</v>
      </c>
      <c r="G81" s="1">
        <v>0</v>
      </c>
      <c r="H81" s="1">
        <v>4.4000000000000004</v>
      </c>
      <c r="I81" s="1">
        <v>3.6</v>
      </c>
      <c r="J81" s="3">
        <f t="shared" si="22"/>
        <v>0</v>
      </c>
      <c r="L81" s="1">
        <f t="shared" si="23"/>
        <v>-18.518867924528301</v>
      </c>
      <c r="M81" s="1">
        <f t="shared" si="24"/>
        <v>13482.058878010568</v>
      </c>
      <c r="N81" s="1">
        <f t="shared" si="25"/>
        <v>6.8169811320754619</v>
      </c>
      <c r="O81" s="2">
        <f t="shared" si="26"/>
        <v>4.1836131814906308E-3</v>
      </c>
      <c r="P81" s="1">
        <f t="shared" si="27"/>
        <v>-5.1698113207547172</v>
      </c>
      <c r="Q81" s="1">
        <f t="shared" si="28"/>
        <v>-3.4084905660377345</v>
      </c>
      <c r="R81" s="1">
        <f t="shared" si="29"/>
        <v>0.50188679245282986</v>
      </c>
      <c r="S81" s="1">
        <f t="shared" si="30"/>
        <v>-0.28301886792452829</v>
      </c>
      <c r="U81" s="1">
        <f t="shared" si="31"/>
        <v>342.94846920612315</v>
      </c>
      <c r="V81" s="1">
        <f t="shared" si="32"/>
        <v>181765911.59014359</v>
      </c>
      <c r="W81" s="1">
        <f t="shared" si="33"/>
        <v>46.471231755072843</v>
      </c>
      <c r="X81" s="1">
        <f t="shared" si="34"/>
        <v>1.7502619252342156E-5</v>
      </c>
      <c r="Y81" s="1">
        <f t="shared" si="35"/>
        <v>26.726949092203633</v>
      </c>
      <c r="Z81" s="1">
        <f t="shared" si="36"/>
        <v>11.617807938768236</v>
      </c>
      <c r="AA81" s="1">
        <f t="shared" si="37"/>
        <v>0.25189035243858993</v>
      </c>
      <c r="AB81" s="1">
        <f t="shared" si="38"/>
        <v>8.0099679601281587E-2</v>
      </c>
    </row>
    <row r="82" spans="2:28" x14ac:dyDescent="0.3">
      <c r="B82" s="1">
        <v>1.6</v>
      </c>
      <c r="C82" s="1">
        <v>5</v>
      </c>
      <c r="D82" s="1">
        <f t="shared" si="20"/>
        <v>24139.05342193129</v>
      </c>
      <c r="E82" s="1">
        <v>47.2</v>
      </c>
      <c r="F82" s="2">
        <f t="shared" si="21"/>
        <v>0.39608206405621627</v>
      </c>
      <c r="G82" s="1">
        <v>0</v>
      </c>
      <c r="H82" s="1">
        <v>4.5999999999999996</v>
      </c>
      <c r="I82" s="1">
        <v>2.7</v>
      </c>
      <c r="J82" s="3">
        <f t="shared" si="22"/>
        <v>0</v>
      </c>
      <c r="L82" s="1">
        <f t="shared" si="23"/>
        <v>-15.518867924528301</v>
      </c>
      <c r="M82" s="1">
        <f t="shared" si="24"/>
        <v>11620.663325251378</v>
      </c>
      <c r="N82" s="1">
        <f t="shared" si="25"/>
        <v>5.6169811320754661</v>
      </c>
      <c r="O82" s="2">
        <f t="shared" si="26"/>
        <v>0.28958991130145723</v>
      </c>
      <c r="P82" s="1">
        <f t="shared" si="27"/>
        <v>-5.1698113207547172</v>
      </c>
      <c r="Q82" s="1">
        <f t="shared" si="28"/>
        <v>-3.2084905660377352</v>
      </c>
      <c r="R82" s="1">
        <f t="shared" si="29"/>
        <v>-0.39811320754717006</v>
      </c>
      <c r="S82" s="1">
        <f t="shared" si="30"/>
        <v>-0.28301886792452829</v>
      </c>
      <c r="U82" s="1">
        <f t="shared" si="31"/>
        <v>240.83526165895336</v>
      </c>
      <c r="V82" s="1">
        <f t="shared" si="32"/>
        <v>135039816.11884242</v>
      </c>
      <c r="W82" s="1">
        <f t="shared" si="33"/>
        <v>31.550477038091785</v>
      </c>
      <c r="X82" s="1">
        <f t="shared" si="34"/>
        <v>8.3862316727585859E-2</v>
      </c>
      <c r="Y82" s="1">
        <f t="shared" si="35"/>
        <v>26.726949092203633</v>
      </c>
      <c r="Z82" s="1">
        <f t="shared" si="36"/>
        <v>10.294411712353146</v>
      </c>
      <c r="AA82" s="1">
        <f t="shared" si="37"/>
        <v>0.15849412602349611</v>
      </c>
      <c r="AB82" s="1">
        <f t="shared" si="38"/>
        <v>8.0099679601281587E-2</v>
      </c>
    </row>
    <row r="83" spans="2:28" x14ac:dyDescent="0.3">
      <c r="B83" s="1">
        <v>2.7</v>
      </c>
      <c r="C83" s="1">
        <v>11</v>
      </c>
      <c r="D83" s="1">
        <f t="shared" si="20"/>
        <v>12557.974678388431</v>
      </c>
      <c r="E83" s="1">
        <v>14.1</v>
      </c>
      <c r="F83" s="2">
        <f t="shared" si="21"/>
        <v>1.95824013742146E-3</v>
      </c>
      <c r="G83" s="1">
        <v>2</v>
      </c>
      <c r="H83" s="1">
        <v>2.9</v>
      </c>
      <c r="I83" s="1">
        <v>1.5</v>
      </c>
      <c r="J83" s="3">
        <f t="shared" si="22"/>
        <v>1</v>
      </c>
      <c r="L83" s="1">
        <f t="shared" si="23"/>
        <v>-9.5188679245283012</v>
      </c>
      <c r="M83" s="1">
        <f t="shared" si="24"/>
        <v>39.584581708519181</v>
      </c>
      <c r="N83" s="1">
        <f t="shared" si="25"/>
        <v>-27.483018867924535</v>
      </c>
      <c r="O83" s="2">
        <f t="shared" si="26"/>
        <v>-0.10453391261733756</v>
      </c>
      <c r="P83" s="1">
        <f t="shared" si="27"/>
        <v>-3.1698113207547172</v>
      </c>
      <c r="Q83" s="1">
        <f t="shared" si="28"/>
        <v>-4.9084905660377345</v>
      </c>
      <c r="R83" s="1">
        <f t="shared" si="29"/>
        <v>-1.5981132075471702</v>
      </c>
      <c r="S83" s="1">
        <f t="shared" si="30"/>
        <v>0.71698113207547176</v>
      </c>
      <c r="U83" s="1">
        <f t="shared" si="31"/>
        <v>90.608846564613728</v>
      </c>
      <c r="V83" s="1">
        <f t="shared" si="32"/>
        <v>1566.9391090384313</v>
      </c>
      <c r="W83" s="1">
        <f t="shared" si="33"/>
        <v>755.31632609469602</v>
      </c>
      <c r="X83" s="1">
        <f t="shared" si="34"/>
        <v>1.0927338887089166E-2</v>
      </c>
      <c r="Y83" s="1">
        <f t="shared" si="35"/>
        <v>10.047703809184764</v>
      </c>
      <c r="Z83" s="1">
        <f t="shared" si="36"/>
        <v>24.093279636881441</v>
      </c>
      <c r="AA83" s="1">
        <f t="shared" si="37"/>
        <v>2.5539658241367049</v>
      </c>
      <c r="AB83" s="1">
        <f t="shared" si="38"/>
        <v>0.51406194375222514</v>
      </c>
    </row>
    <row r="84" spans="2:28" x14ac:dyDescent="0.3">
      <c r="B84" s="1">
        <v>2.9</v>
      </c>
      <c r="C84" s="1">
        <v>14</v>
      </c>
      <c r="D84" s="1">
        <f t="shared" si="20"/>
        <v>4786.2537987534388</v>
      </c>
      <c r="E84" s="1">
        <v>39.4</v>
      </c>
      <c r="F84" s="2">
        <f t="shared" si="21"/>
        <v>7.1707712908490829E-3</v>
      </c>
      <c r="G84" s="1">
        <v>1</v>
      </c>
      <c r="H84" s="1">
        <v>7</v>
      </c>
      <c r="I84" s="1">
        <v>4</v>
      </c>
      <c r="J84" s="3">
        <f t="shared" si="22"/>
        <v>0</v>
      </c>
      <c r="L84" s="1">
        <f t="shared" si="23"/>
        <v>-6.5188679245283012</v>
      </c>
      <c r="M84" s="1">
        <f t="shared" si="24"/>
        <v>-7732.1362979264732</v>
      </c>
      <c r="N84" s="1">
        <f t="shared" si="25"/>
        <v>-2.1830188679245381</v>
      </c>
      <c r="O84" s="2">
        <f t="shared" si="26"/>
        <v>-9.9321381463909938E-2</v>
      </c>
      <c r="P84" s="1">
        <f t="shared" si="27"/>
        <v>-4.1698113207547172</v>
      </c>
      <c r="Q84" s="1">
        <f t="shared" si="28"/>
        <v>-0.80849056603773484</v>
      </c>
      <c r="R84" s="1">
        <f t="shared" si="29"/>
        <v>0.90188679245282977</v>
      </c>
      <c r="S84" s="1">
        <f t="shared" si="30"/>
        <v>-0.28301886792452829</v>
      </c>
      <c r="U84" s="1">
        <f t="shared" si="31"/>
        <v>42.495639017443921</v>
      </c>
      <c r="V84" s="1">
        <f t="shared" si="32"/>
        <v>59785931.729712106</v>
      </c>
      <c r="W84" s="1">
        <f t="shared" si="33"/>
        <v>4.7655713777145321</v>
      </c>
      <c r="X84" s="1">
        <f t="shared" si="34"/>
        <v>9.8647368158995136E-3</v>
      </c>
      <c r="Y84" s="1">
        <f t="shared" si="35"/>
        <v>17.3873264506942</v>
      </c>
      <c r="Z84" s="1">
        <f t="shared" si="36"/>
        <v>0.65365699537201682</v>
      </c>
      <c r="AA84" s="1">
        <f t="shared" si="37"/>
        <v>0.81339978640085364</v>
      </c>
      <c r="AB84" s="1">
        <f t="shared" si="38"/>
        <v>8.0099679601281587E-2</v>
      </c>
    </row>
    <row r="85" spans="2:28" x14ac:dyDescent="0.3">
      <c r="B85" s="1">
        <v>2.2999999999999998</v>
      </c>
      <c r="C85" s="1">
        <v>14</v>
      </c>
      <c r="D85" s="1">
        <f t="shared" si="20"/>
        <v>14181.006761199387</v>
      </c>
      <c r="E85" s="1">
        <v>40.6</v>
      </c>
      <c r="F85" s="2">
        <f t="shared" si="21"/>
        <v>4.6352444987180073E-2</v>
      </c>
      <c r="G85" s="1">
        <v>11</v>
      </c>
      <c r="H85" s="1">
        <v>12.9</v>
      </c>
      <c r="I85" s="1">
        <v>2.2999999999999998</v>
      </c>
      <c r="J85" s="3">
        <f t="shared" si="22"/>
        <v>0</v>
      </c>
      <c r="L85" s="1">
        <f t="shared" si="23"/>
        <v>-6.5188679245283012</v>
      </c>
      <c r="M85" s="1">
        <f t="shared" si="24"/>
        <v>1662.6166645194753</v>
      </c>
      <c r="N85" s="1">
        <f t="shared" si="25"/>
        <v>-0.9830188679245353</v>
      </c>
      <c r="O85" s="2">
        <f t="shared" si="26"/>
        <v>-6.0139707767578952E-2</v>
      </c>
      <c r="P85" s="1">
        <f t="shared" si="27"/>
        <v>5.8301886792452828</v>
      </c>
      <c r="Q85" s="1">
        <f t="shared" si="28"/>
        <v>5.0915094339622655</v>
      </c>
      <c r="R85" s="1">
        <f t="shared" si="29"/>
        <v>-0.79811320754717041</v>
      </c>
      <c r="S85" s="1">
        <f t="shared" si="30"/>
        <v>-0.28301886792452829</v>
      </c>
      <c r="U85" s="1">
        <f t="shared" si="31"/>
        <v>42.495639017443921</v>
      </c>
      <c r="V85" s="1">
        <f t="shared" si="32"/>
        <v>2764294.1731378655</v>
      </c>
      <c r="W85" s="1">
        <f t="shared" si="33"/>
        <v>0.96632609469563502</v>
      </c>
      <c r="X85" s="1">
        <f t="shared" si="34"/>
        <v>3.6167844503697962E-3</v>
      </c>
      <c r="Y85" s="1">
        <f t="shared" si="35"/>
        <v>33.991100035599857</v>
      </c>
      <c r="Z85" s="1">
        <f t="shared" si="36"/>
        <v>25.923468316126751</v>
      </c>
      <c r="AA85" s="1">
        <f t="shared" si="37"/>
        <v>0.63698469206123276</v>
      </c>
      <c r="AB85" s="1">
        <f t="shared" si="38"/>
        <v>8.0099679601281587E-2</v>
      </c>
    </row>
    <row r="86" spans="2:28" x14ac:dyDescent="0.3">
      <c r="B86" s="1">
        <v>1.6</v>
      </c>
      <c r="C86" s="1">
        <v>4</v>
      </c>
      <c r="D86" s="1">
        <f t="shared" si="20"/>
        <v>22602.804969888308</v>
      </c>
      <c r="E86" s="1">
        <v>46.9</v>
      </c>
      <c r="F86" s="2">
        <f t="shared" si="21"/>
        <v>0.44062190835157683</v>
      </c>
      <c r="G86" s="1">
        <v>0</v>
      </c>
      <c r="H86" s="1">
        <v>3.8</v>
      </c>
      <c r="I86" s="1">
        <v>3.3</v>
      </c>
      <c r="J86" s="3">
        <f t="shared" si="22"/>
        <v>1</v>
      </c>
      <c r="L86" s="1">
        <f t="shared" si="23"/>
        <v>-16.518867924528301</v>
      </c>
      <c r="M86" s="1">
        <f t="shared" si="24"/>
        <v>10084.414873208396</v>
      </c>
      <c r="N86" s="1">
        <f t="shared" si="25"/>
        <v>5.3169811320754619</v>
      </c>
      <c r="O86" s="2">
        <f t="shared" si="26"/>
        <v>0.33412975559681779</v>
      </c>
      <c r="P86" s="1">
        <f t="shared" si="27"/>
        <v>-5.1698113207547172</v>
      </c>
      <c r="Q86" s="1">
        <f t="shared" si="28"/>
        <v>-4.008490566037735</v>
      </c>
      <c r="R86" s="1">
        <f t="shared" si="29"/>
        <v>0.20188679245282959</v>
      </c>
      <c r="S86" s="1">
        <f t="shared" si="30"/>
        <v>0.71698113207547176</v>
      </c>
      <c r="U86" s="1">
        <f t="shared" si="31"/>
        <v>272.87299750800997</v>
      </c>
      <c r="V86" s="1">
        <f t="shared" si="32"/>
        <v>101695423.3349867</v>
      </c>
      <c r="W86" s="1">
        <f t="shared" si="33"/>
        <v>28.270288358846461</v>
      </c>
      <c r="X86" s="1">
        <f t="shared" si="34"/>
        <v>0.11164269357518919</v>
      </c>
      <c r="Y86" s="1">
        <f t="shared" si="35"/>
        <v>26.726949092203633</v>
      </c>
      <c r="Z86" s="1">
        <f t="shared" si="36"/>
        <v>16.06799661801352</v>
      </c>
      <c r="AA86" s="1">
        <f t="shared" si="37"/>
        <v>4.0758276966891889E-2</v>
      </c>
      <c r="AB86" s="1">
        <f t="shared" si="38"/>
        <v>0.51406194375222514</v>
      </c>
    </row>
    <row r="87" spans="2:28" x14ac:dyDescent="0.3">
      <c r="B87" s="1">
        <v>2.8</v>
      </c>
      <c r="C87" s="1">
        <v>26</v>
      </c>
      <c r="D87" s="1">
        <f t="shared" si="20"/>
        <v>6064.4930870273056</v>
      </c>
      <c r="E87" s="1">
        <v>38.700000000000003</v>
      </c>
      <c r="F87" s="2">
        <f t="shared" si="21"/>
        <v>1.0038229410373203E-3</v>
      </c>
      <c r="G87" s="1">
        <v>4</v>
      </c>
      <c r="H87" s="1">
        <v>2.5</v>
      </c>
      <c r="I87" s="1">
        <v>1</v>
      </c>
      <c r="J87" s="3">
        <f t="shared" si="22"/>
        <v>1</v>
      </c>
      <c r="L87" s="1">
        <f t="shared" si="23"/>
        <v>5.4811320754716988</v>
      </c>
      <c r="M87" s="1">
        <f t="shared" si="24"/>
        <v>-6453.8970096526064</v>
      </c>
      <c r="N87" s="1">
        <f t="shared" si="25"/>
        <v>-2.8830188679245339</v>
      </c>
      <c r="O87" s="2">
        <f t="shared" si="26"/>
        <v>-0.10548832981372171</v>
      </c>
      <c r="P87" s="1">
        <f t="shared" si="27"/>
        <v>-1.1698113207547172</v>
      </c>
      <c r="Q87" s="1">
        <f t="shared" si="28"/>
        <v>-5.3084905660377348</v>
      </c>
      <c r="R87" s="1">
        <f t="shared" si="29"/>
        <v>-2.0981132075471702</v>
      </c>
      <c r="S87" s="1">
        <f t="shared" si="30"/>
        <v>0.71698113207547176</v>
      </c>
      <c r="U87" s="1">
        <f t="shared" si="31"/>
        <v>30.042808828764691</v>
      </c>
      <c r="V87" s="1">
        <f t="shared" si="32"/>
        <v>41652786.611202851</v>
      </c>
      <c r="W87" s="1">
        <f t="shared" si="33"/>
        <v>8.3117977928088607</v>
      </c>
      <c r="X87" s="1">
        <f t="shared" si="34"/>
        <v>1.1127787726888529E-2</v>
      </c>
      <c r="Y87" s="1">
        <f t="shared" si="35"/>
        <v>1.3684585261658957</v>
      </c>
      <c r="Z87" s="1">
        <f t="shared" si="36"/>
        <v>28.180072089711629</v>
      </c>
      <c r="AA87" s="1">
        <f t="shared" si="37"/>
        <v>4.4020790316838747</v>
      </c>
      <c r="AB87" s="1">
        <f t="shared" si="38"/>
        <v>0.51406194375222514</v>
      </c>
    </row>
    <row r="88" spans="2:28" x14ac:dyDescent="0.3">
      <c r="B88" s="1">
        <v>1.4</v>
      </c>
      <c r="C88" s="1">
        <v>4</v>
      </c>
      <c r="D88" s="1">
        <f t="shared" si="20"/>
        <v>18030.823948807465</v>
      </c>
      <c r="E88" s="1">
        <v>44.5</v>
      </c>
      <c r="F88" s="2">
        <f t="shared" si="21"/>
        <v>7.3454397277473535E-2</v>
      </c>
      <c r="G88" s="1">
        <v>0</v>
      </c>
      <c r="H88" s="1">
        <v>3.2</v>
      </c>
      <c r="I88" s="1">
        <v>6.6</v>
      </c>
      <c r="J88" s="3">
        <f t="shared" si="22"/>
        <v>1</v>
      </c>
      <c r="L88" s="1">
        <f t="shared" si="23"/>
        <v>-16.518867924528301</v>
      </c>
      <c r="M88" s="1">
        <f t="shared" si="24"/>
        <v>5512.4338521275531</v>
      </c>
      <c r="N88" s="1">
        <f t="shared" si="25"/>
        <v>2.9169811320754633</v>
      </c>
      <c r="O88" s="2">
        <f t="shared" si="26"/>
        <v>-3.3037755477285491E-2</v>
      </c>
      <c r="P88" s="1">
        <f t="shared" si="27"/>
        <v>-5.1698113207547172</v>
      </c>
      <c r="Q88" s="1">
        <f t="shared" si="28"/>
        <v>-4.6084905660377347</v>
      </c>
      <c r="R88" s="1">
        <f t="shared" si="29"/>
        <v>3.5018867924528294</v>
      </c>
      <c r="S88" s="1">
        <f t="shared" si="30"/>
        <v>0.71698113207547176</v>
      </c>
      <c r="U88" s="1">
        <f t="shared" si="31"/>
        <v>272.87299750800997</v>
      </c>
      <c r="V88" s="1">
        <f t="shared" si="32"/>
        <v>30386926.974081814</v>
      </c>
      <c r="W88" s="1">
        <f t="shared" si="33"/>
        <v>8.5087789248842505</v>
      </c>
      <c r="X88" s="1">
        <f t="shared" si="34"/>
        <v>1.0914932869769075E-3</v>
      </c>
      <c r="Y88" s="1">
        <f t="shared" si="35"/>
        <v>26.726949092203633</v>
      </c>
      <c r="Z88" s="1">
        <f t="shared" si="36"/>
        <v>21.238185297258799</v>
      </c>
      <c r="AA88" s="1">
        <f t="shared" si="37"/>
        <v>12.263211107155566</v>
      </c>
      <c r="AB88" s="1">
        <f t="shared" si="38"/>
        <v>0.51406194375222514</v>
      </c>
    </row>
    <row r="89" spans="2:28" x14ac:dyDescent="0.3">
      <c r="B89" s="1">
        <v>1.4</v>
      </c>
      <c r="C89" s="1">
        <v>3</v>
      </c>
      <c r="D89" s="1">
        <f t="shared" si="20"/>
        <v>19344.374738947634</v>
      </c>
      <c r="E89" s="1">
        <v>49.3</v>
      </c>
      <c r="F89" s="2">
        <f t="shared" si="21"/>
        <v>8.728306358453497E-2</v>
      </c>
      <c r="G89" s="1">
        <v>0</v>
      </c>
      <c r="H89" s="1">
        <v>6.8</v>
      </c>
      <c r="I89" s="1">
        <v>3.4</v>
      </c>
      <c r="J89" s="3">
        <f t="shared" si="22"/>
        <v>0</v>
      </c>
      <c r="L89" s="1">
        <f t="shared" si="23"/>
        <v>-17.518867924528301</v>
      </c>
      <c r="M89" s="1">
        <f t="shared" si="24"/>
        <v>6825.9846422677219</v>
      </c>
      <c r="N89" s="1">
        <f t="shared" si="25"/>
        <v>7.7169811320754604</v>
      </c>
      <c r="O89" s="2">
        <f t="shared" si="26"/>
        <v>-1.9209089170224056E-2</v>
      </c>
      <c r="P89" s="1">
        <f t="shared" si="27"/>
        <v>-5.1698113207547172</v>
      </c>
      <c r="Q89" s="1">
        <f t="shared" si="28"/>
        <v>-1.008490566037735</v>
      </c>
      <c r="R89" s="1">
        <f t="shared" si="29"/>
        <v>0.30188679245282968</v>
      </c>
      <c r="S89" s="1">
        <f t="shared" si="30"/>
        <v>-0.28301886792452829</v>
      </c>
      <c r="U89" s="1">
        <f t="shared" si="31"/>
        <v>306.91073335706653</v>
      </c>
      <c r="V89" s="1">
        <f t="shared" si="32"/>
        <v>46594066.336474799</v>
      </c>
      <c r="W89" s="1">
        <f t="shared" si="33"/>
        <v>59.551797792808657</v>
      </c>
      <c r="X89" s="1">
        <f t="shared" si="34"/>
        <v>3.6898910674961909E-4</v>
      </c>
      <c r="Y89" s="1">
        <f t="shared" si="35"/>
        <v>26.726949092203633</v>
      </c>
      <c r="Z89" s="1">
        <f t="shared" si="36"/>
        <v>1.0170532217871111</v>
      </c>
      <c r="AA89" s="1">
        <f t="shared" si="37"/>
        <v>9.1135635457457856E-2</v>
      </c>
      <c r="AB89" s="1">
        <f t="shared" si="38"/>
        <v>8.0099679601281587E-2</v>
      </c>
    </row>
    <row r="90" spans="2:28" x14ac:dyDescent="0.3">
      <c r="B90" s="1">
        <v>1.8</v>
      </c>
      <c r="C90" s="1">
        <v>6</v>
      </c>
      <c r="D90" s="1">
        <f t="shared" si="20"/>
        <v>17823.455521297248</v>
      </c>
      <c r="E90" s="1">
        <v>15.4</v>
      </c>
      <c r="F90" s="2">
        <f t="shared" si="21"/>
        <v>6.941906309949869E-3</v>
      </c>
      <c r="G90" s="1">
        <v>2</v>
      </c>
      <c r="H90" s="1">
        <v>0.2</v>
      </c>
      <c r="I90" s="1">
        <v>1.3</v>
      </c>
      <c r="J90" s="3">
        <f t="shared" si="22"/>
        <v>1</v>
      </c>
      <c r="L90" s="1">
        <f t="shared" si="23"/>
        <v>-14.518867924528301</v>
      </c>
      <c r="M90" s="1">
        <f t="shared" si="24"/>
        <v>5305.0654246173362</v>
      </c>
      <c r="N90" s="1">
        <f t="shared" si="25"/>
        <v>-26.183018867924538</v>
      </c>
      <c r="O90" s="2">
        <f t="shared" si="26"/>
        <v>-9.9550246444809157E-2</v>
      </c>
      <c r="P90" s="1">
        <f t="shared" si="27"/>
        <v>-3.1698113207547172</v>
      </c>
      <c r="Q90" s="1">
        <f t="shared" si="28"/>
        <v>-7.6084905660377347</v>
      </c>
      <c r="R90" s="1">
        <f t="shared" si="29"/>
        <v>-1.7981132075471702</v>
      </c>
      <c r="S90" s="1">
        <f t="shared" si="30"/>
        <v>0.71698113207547176</v>
      </c>
      <c r="U90" s="1">
        <f t="shared" si="31"/>
        <v>210.79752580989674</v>
      </c>
      <c r="V90" s="1">
        <f t="shared" si="32"/>
        <v>28143719.15947032</v>
      </c>
      <c r="W90" s="1">
        <f t="shared" si="33"/>
        <v>685.55047703809237</v>
      </c>
      <c r="X90" s="1">
        <f t="shared" si="34"/>
        <v>9.9102515672222381E-3</v>
      </c>
      <c r="Y90" s="1">
        <f t="shared" si="35"/>
        <v>10.047703809184764</v>
      </c>
      <c r="Z90" s="1">
        <f t="shared" si="36"/>
        <v>57.889128693485205</v>
      </c>
      <c r="AA90" s="1">
        <f t="shared" si="37"/>
        <v>3.2332111071555727</v>
      </c>
      <c r="AB90" s="1">
        <f t="shared" si="38"/>
        <v>0.51406194375222514</v>
      </c>
    </row>
    <row r="91" spans="2:28" x14ac:dyDescent="0.3">
      <c r="B91" s="1">
        <v>2.2999999999999998</v>
      </c>
      <c r="C91" s="1">
        <v>34</v>
      </c>
      <c r="D91" s="1">
        <f t="shared" si="20"/>
        <v>11327.126607798184</v>
      </c>
      <c r="E91" s="1">
        <v>39.299999999999997</v>
      </c>
      <c r="F91" s="2">
        <f t="shared" si="21"/>
        <v>0.11338589645378695</v>
      </c>
      <c r="G91" s="1">
        <v>4</v>
      </c>
      <c r="H91" s="1">
        <v>6.1</v>
      </c>
      <c r="I91" s="1">
        <v>1.6</v>
      </c>
      <c r="J91" s="3">
        <f t="shared" si="22"/>
        <v>0</v>
      </c>
      <c r="L91" s="1">
        <f t="shared" si="23"/>
        <v>13.481132075471699</v>
      </c>
      <c r="M91" s="1">
        <f t="shared" si="24"/>
        <v>-1191.2634888817283</v>
      </c>
      <c r="N91" s="1">
        <f t="shared" si="25"/>
        <v>-2.2830188679245396</v>
      </c>
      <c r="O91" s="2">
        <f t="shared" si="26"/>
        <v>6.8937436990279266E-3</v>
      </c>
      <c r="P91" s="1">
        <f t="shared" si="27"/>
        <v>-1.1698113207547172</v>
      </c>
      <c r="Q91" s="1">
        <f t="shared" si="28"/>
        <v>-1.7084905660377352</v>
      </c>
      <c r="R91" s="1">
        <f t="shared" si="29"/>
        <v>-1.4981132075471701</v>
      </c>
      <c r="S91" s="1">
        <f t="shared" si="30"/>
        <v>-0.28301886792452829</v>
      </c>
      <c r="U91" s="1">
        <f t="shared" si="31"/>
        <v>181.74092203631187</v>
      </c>
      <c r="V91" s="1">
        <f t="shared" si="32"/>
        <v>1419108.6999426677</v>
      </c>
      <c r="W91" s="1">
        <f t="shared" si="33"/>
        <v>5.2121751512994461</v>
      </c>
      <c r="X91" s="1">
        <f t="shared" si="34"/>
        <v>4.7523702187887242E-5</v>
      </c>
      <c r="Y91" s="1">
        <f t="shared" si="35"/>
        <v>1.3684585261658957</v>
      </c>
      <c r="Z91" s="1">
        <f t="shared" si="36"/>
        <v>2.9189400142399409</v>
      </c>
      <c r="AA91" s="1">
        <f t="shared" si="37"/>
        <v>2.2443431826272704</v>
      </c>
      <c r="AB91" s="1">
        <f t="shared" si="38"/>
        <v>8.0099679601281587E-2</v>
      </c>
    </row>
    <row r="92" spans="2:28" x14ac:dyDescent="0.3">
      <c r="B92" s="1">
        <v>1.7</v>
      </c>
      <c r="C92" s="1">
        <v>3</v>
      </c>
      <c r="D92" s="1">
        <f t="shared" si="20"/>
        <v>16362.344839345593</v>
      </c>
      <c r="E92" s="1">
        <v>44.3</v>
      </c>
      <c r="F92" s="2">
        <f t="shared" si="21"/>
        <v>0.77318280796277439</v>
      </c>
      <c r="G92" s="1">
        <v>1</v>
      </c>
      <c r="H92" s="1">
        <v>2.5</v>
      </c>
      <c r="I92" s="1">
        <v>6.6</v>
      </c>
      <c r="J92" s="3">
        <f t="shared" si="22"/>
        <v>1</v>
      </c>
      <c r="L92" s="1">
        <f t="shared" si="23"/>
        <v>-17.518867924528301</v>
      </c>
      <c r="M92" s="1">
        <f t="shared" si="24"/>
        <v>3843.9547426656809</v>
      </c>
      <c r="N92" s="1">
        <f t="shared" si="25"/>
        <v>2.7169811320754604</v>
      </c>
      <c r="O92" s="2">
        <f t="shared" si="26"/>
        <v>0.6666906552080154</v>
      </c>
      <c r="P92" s="1">
        <f t="shared" si="27"/>
        <v>-4.1698113207547172</v>
      </c>
      <c r="Q92" s="1">
        <f t="shared" si="28"/>
        <v>-5.3084905660377348</v>
      </c>
      <c r="R92" s="1">
        <f t="shared" si="29"/>
        <v>3.5018867924528294</v>
      </c>
      <c r="S92" s="1">
        <f t="shared" si="30"/>
        <v>0.71698113207547176</v>
      </c>
      <c r="U92" s="1">
        <f t="shared" si="31"/>
        <v>306.91073335706653</v>
      </c>
      <c r="V92" s="1">
        <f t="shared" si="32"/>
        <v>14775988.063661981</v>
      </c>
      <c r="W92" s="1">
        <f t="shared" si="33"/>
        <v>7.3819864720540505</v>
      </c>
      <c r="X92" s="1">
        <f t="shared" si="34"/>
        <v>0.44447642974169288</v>
      </c>
      <c r="Y92" s="1">
        <f t="shared" si="35"/>
        <v>17.3873264506942</v>
      </c>
      <c r="Z92" s="1">
        <f t="shared" si="36"/>
        <v>28.180072089711629</v>
      </c>
      <c r="AA92" s="1">
        <f t="shared" si="37"/>
        <v>12.263211107155566</v>
      </c>
      <c r="AB92" s="1">
        <f t="shared" si="38"/>
        <v>0.51406194375222514</v>
      </c>
    </row>
    <row r="93" spans="2:28" x14ac:dyDescent="0.3">
      <c r="B93" s="1">
        <v>1.6</v>
      </c>
      <c r="C93" s="1">
        <v>7</v>
      </c>
      <c r="D93" s="1">
        <f t="shared" si="20"/>
        <v>17346.579171065801</v>
      </c>
      <c r="E93" s="1">
        <v>43</v>
      </c>
      <c r="F93" s="2">
        <f t="shared" si="21"/>
        <v>1.0396258054046091E-3</v>
      </c>
      <c r="G93" s="1">
        <v>12</v>
      </c>
      <c r="H93" s="1">
        <v>5</v>
      </c>
      <c r="I93" s="1">
        <v>6.9</v>
      </c>
      <c r="J93" s="3">
        <f t="shared" si="22"/>
        <v>0</v>
      </c>
      <c r="L93" s="1">
        <f t="shared" si="23"/>
        <v>-13.518867924528301</v>
      </c>
      <c r="M93" s="1">
        <f t="shared" si="24"/>
        <v>4828.1890743858894</v>
      </c>
      <c r="N93" s="1">
        <f t="shared" si="25"/>
        <v>1.4169811320754633</v>
      </c>
      <c r="O93" s="2">
        <f t="shared" si="26"/>
        <v>-0.10545252694935442</v>
      </c>
      <c r="P93" s="1">
        <f t="shared" si="27"/>
        <v>6.8301886792452828</v>
      </c>
      <c r="Q93" s="1">
        <f t="shared" si="28"/>
        <v>-2.8084905660377348</v>
      </c>
      <c r="R93" s="1">
        <f t="shared" si="29"/>
        <v>3.8018867924528301</v>
      </c>
      <c r="S93" s="1">
        <f t="shared" si="30"/>
        <v>-0.28301886792452829</v>
      </c>
      <c r="U93" s="1">
        <f t="shared" si="31"/>
        <v>182.75978996084015</v>
      </c>
      <c r="V93" s="1">
        <f t="shared" si="32"/>
        <v>23311409.738019273</v>
      </c>
      <c r="W93" s="1">
        <f t="shared" si="33"/>
        <v>2.0078355286578615</v>
      </c>
      <c r="X93" s="1">
        <f t="shared" si="34"/>
        <v>1.112023544000432E-2</v>
      </c>
      <c r="Y93" s="1">
        <f t="shared" si="35"/>
        <v>46.651477394090421</v>
      </c>
      <c r="Z93" s="1">
        <f t="shared" si="36"/>
        <v>7.887619259522956</v>
      </c>
      <c r="AA93" s="1">
        <f t="shared" si="37"/>
        <v>14.454343182627269</v>
      </c>
      <c r="AB93" s="1">
        <f t="shared" si="38"/>
        <v>8.0099679601281587E-2</v>
      </c>
    </row>
    <row r="94" spans="2:28" x14ac:dyDescent="0.3">
      <c r="B94" s="1">
        <v>1.6</v>
      </c>
      <c r="C94" s="1">
        <v>4</v>
      </c>
      <c r="D94" s="1">
        <f t="shared" si="20"/>
        <v>24684.71980184548</v>
      </c>
      <c r="E94" s="1">
        <v>47.6</v>
      </c>
      <c r="F94" s="2">
        <f t="shared" si="21"/>
        <v>0.29564264720164513</v>
      </c>
      <c r="G94" s="1">
        <v>2</v>
      </c>
      <c r="H94" s="1">
        <v>4.5</v>
      </c>
      <c r="I94" s="1">
        <v>2.5</v>
      </c>
      <c r="J94" s="3">
        <f t="shared" si="22"/>
        <v>0</v>
      </c>
      <c r="L94" s="1">
        <f t="shared" si="23"/>
        <v>-16.518867924528301</v>
      </c>
      <c r="M94" s="1">
        <f t="shared" si="24"/>
        <v>12166.329705165568</v>
      </c>
      <c r="N94" s="1">
        <f t="shared" si="25"/>
        <v>6.0169811320754647</v>
      </c>
      <c r="O94" s="2">
        <f t="shared" si="26"/>
        <v>0.18915049444688609</v>
      </c>
      <c r="P94" s="1">
        <f t="shared" si="27"/>
        <v>-3.1698113207547172</v>
      </c>
      <c r="Q94" s="1">
        <f t="shared" si="28"/>
        <v>-3.3084905660377348</v>
      </c>
      <c r="R94" s="1">
        <f t="shared" si="29"/>
        <v>-0.59811320754717023</v>
      </c>
      <c r="S94" s="1">
        <f t="shared" si="30"/>
        <v>-0.28301886792452829</v>
      </c>
      <c r="U94" s="1">
        <f t="shared" si="31"/>
        <v>272.87299750800997</v>
      </c>
      <c r="V94" s="1">
        <f t="shared" si="32"/>
        <v>148019578.4947941</v>
      </c>
      <c r="W94" s="1">
        <f t="shared" si="33"/>
        <v>36.204061943752144</v>
      </c>
      <c r="X94" s="1">
        <f t="shared" si="34"/>
        <v>3.5777909549501483E-2</v>
      </c>
      <c r="Y94" s="1">
        <f t="shared" si="35"/>
        <v>10.047703809184764</v>
      </c>
      <c r="Z94" s="1">
        <f t="shared" si="36"/>
        <v>10.946109825560692</v>
      </c>
      <c r="AA94" s="1">
        <f t="shared" si="37"/>
        <v>0.35773940904236434</v>
      </c>
      <c r="AB94" s="1">
        <f t="shared" si="38"/>
        <v>8.0099679601281587E-2</v>
      </c>
    </row>
    <row r="95" spans="2:28" x14ac:dyDescent="0.3">
      <c r="B95" s="1">
        <v>1.5</v>
      </c>
      <c r="C95" s="1">
        <v>5</v>
      </c>
      <c r="D95" s="1">
        <f t="shared" si="20"/>
        <v>14064.897981396609</v>
      </c>
      <c r="E95" s="1">
        <v>48.6</v>
      </c>
      <c r="F95" s="2">
        <f t="shared" si="21"/>
        <v>0.15883842433324624</v>
      </c>
      <c r="G95" s="1">
        <v>0</v>
      </c>
      <c r="H95" s="1">
        <v>5.6</v>
      </c>
      <c r="I95" s="1">
        <v>8.1</v>
      </c>
      <c r="J95" s="3">
        <f t="shared" si="22"/>
        <v>0</v>
      </c>
      <c r="L95" s="1">
        <f t="shared" si="23"/>
        <v>-15.518867924528301</v>
      </c>
      <c r="M95" s="1">
        <f t="shared" si="24"/>
        <v>1546.5078847166969</v>
      </c>
      <c r="N95" s="1">
        <f t="shared" si="25"/>
        <v>7.0169811320754647</v>
      </c>
      <c r="O95" s="2">
        <f t="shared" si="26"/>
        <v>5.2346271578487216E-2</v>
      </c>
      <c r="P95" s="1">
        <f t="shared" si="27"/>
        <v>-5.1698113207547172</v>
      </c>
      <c r="Q95" s="1">
        <f t="shared" si="28"/>
        <v>-2.2084905660377352</v>
      </c>
      <c r="R95" s="1">
        <f t="shared" si="29"/>
        <v>5.0018867924528294</v>
      </c>
      <c r="S95" s="1">
        <f t="shared" si="30"/>
        <v>-0.28301886792452829</v>
      </c>
      <c r="U95" s="1">
        <f t="shared" si="31"/>
        <v>240.83526165895336</v>
      </c>
      <c r="V95" s="1">
        <f t="shared" si="32"/>
        <v>2391686.6374909123</v>
      </c>
      <c r="W95" s="1">
        <f t="shared" si="33"/>
        <v>49.238024207903074</v>
      </c>
      <c r="X95" s="1">
        <f t="shared" si="34"/>
        <v>2.7401321481687387E-3</v>
      </c>
      <c r="Y95" s="1">
        <f t="shared" si="35"/>
        <v>26.726949092203633</v>
      </c>
      <c r="Z95" s="1">
        <f t="shared" si="36"/>
        <v>4.8774305802776761</v>
      </c>
      <c r="AA95" s="1">
        <f t="shared" si="37"/>
        <v>25.018871484514055</v>
      </c>
      <c r="AB95" s="1">
        <f t="shared" si="38"/>
        <v>8.0099679601281587E-2</v>
      </c>
    </row>
    <row r="96" spans="2:28" x14ac:dyDescent="0.3">
      <c r="B96" s="1">
        <v>3.9</v>
      </c>
      <c r="C96" s="1">
        <v>41</v>
      </c>
      <c r="D96" s="1">
        <f t="shared" si="20"/>
        <v>1767.078040224462</v>
      </c>
      <c r="E96" s="1">
        <v>52.3</v>
      </c>
      <c r="F96" s="2">
        <f t="shared" si="21"/>
        <v>3.3198947083812207E-2</v>
      </c>
      <c r="G96" s="1">
        <v>6</v>
      </c>
      <c r="H96" s="1">
        <v>1.5</v>
      </c>
      <c r="I96" s="1">
        <v>0.15</v>
      </c>
      <c r="J96" s="3">
        <f t="shared" si="22"/>
        <v>1</v>
      </c>
      <c r="L96" s="1">
        <f t="shared" si="23"/>
        <v>20.481132075471699</v>
      </c>
      <c r="M96" s="1">
        <f t="shared" si="24"/>
        <v>-10751.31205645545</v>
      </c>
      <c r="N96" s="1">
        <f t="shared" si="25"/>
        <v>10.71698113207546</v>
      </c>
      <c r="O96" s="2">
        <f t="shared" si="26"/>
        <v>-7.3293205670946826E-2</v>
      </c>
      <c r="P96" s="1">
        <f t="shared" si="27"/>
        <v>0.83018867924528283</v>
      </c>
      <c r="Q96" s="1">
        <f t="shared" si="28"/>
        <v>-6.3084905660377348</v>
      </c>
      <c r="R96" s="1">
        <f t="shared" si="29"/>
        <v>-2.9481132075471703</v>
      </c>
      <c r="S96" s="1">
        <f t="shared" si="30"/>
        <v>0.71698113207547176</v>
      </c>
      <c r="U96" s="1">
        <f t="shared" si="31"/>
        <v>419.47677109291567</v>
      </c>
      <c r="V96" s="1">
        <f t="shared" si="32"/>
        <v>115590710.93528432</v>
      </c>
      <c r="W96" s="1">
        <f t="shared" si="33"/>
        <v>114.85368458526142</v>
      </c>
      <c r="X96" s="1">
        <f t="shared" si="34"/>
        <v>5.371893997523712E-3</v>
      </c>
      <c r="Y96" s="1">
        <f t="shared" si="35"/>
        <v>0.68921324314702714</v>
      </c>
      <c r="Z96" s="1">
        <f t="shared" si="36"/>
        <v>39.797053221787102</v>
      </c>
      <c r="AA96" s="1">
        <f t="shared" si="37"/>
        <v>8.6913714845140646</v>
      </c>
      <c r="AB96" s="1">
        <f t="shared" si="38"/>
        <v>0.51406194375222514</v>
      </c>
    </row>
    <row r="97" spans="1:28" x14ac:dyDescent="0.3">
      <c r="B97" s="1">
        <v>4.5</v>
      </c>
      <c r="C97" s="1">
        <v>38</v>
      </c>
      <c r="D97" s="1">
        <f t="shared" si="20"/>
        <v>2446.0886624744603</v>
      </c>
      <c r="E97" s="1">
        <v>39</v>
      </c>
      <c r="F97" s="2">
        <f t="shared" si="21"/>
        <v>5.972314618906306E-4</v>
      </c>
      <c r="G97" s="1">
        <v>25</v>
      </c>
      <c r="H97" s="1">
        <v>3.6</v>
      </c>
      <c r="I97" s="1">
        <v>0.3</v>
      </c>
      <c r="J97" s="3">
        <f t="shared" si="22"/>
        <v>1</v>
      </c>
      <c r="L97" s="1">
        <f t="shared" si="23"/>
        <v>17.481132075471699</v>
      </c>
      <c r="M97" s="1">
        <f t="shared" si="24"/>
        <v>-10072.301434205452</v>
      </c>
      <c r="N97" s="1">
        <f t="shared" si="25"/>
        <v>-2.5830188679245367</v>
      </c>
      <c r="O97" s="2">
        <f t="shared" si="26"/>
        <v>-0.1058949212928684</v>
      </c>
      <c r="P97" s="1">
        <f t="shared" si="27"/>
        <v>19.830188679245282</v>
      </c>
      <c r="Q97" s="1">
        <f t="shared" si="28"/>
        <v>-4.2084905660377352</v>
      </c>
      <c r="R97" s="1">
        <f t="shared" si="29"/>
        <v>-2.7981132075471704</v>
      </c>
      <c r="S97" s="1">
        <f t="shared" si="30"/>
        <v>0.71698113207547176</v>
      </c>
      <c r="U97" s="1">
        <f t="shared" si="31"/>
        <v>305.58997864008546</v>
      </c>
      <c r="V97" s="1">
        <f t="shared" si="32"/>
        <v>101451256.1814972</v>
      </c>
      <c r="W97" s="1">
        <f t="shared" si="33"/>
        <v>6.6719864720541553</v>
      </c>
      <c r="X97" s="1">
        <f t="shared" si="34"/>
        <v>1.1213734355622793E-2</v>
      </c>
      <c r="Y97" s="1">
        <f t="shared" si="35"/>
        <v>393.23638305446775</v>
      </c>
      <c r="Z97" s="1">
        <f t="shared" si="36"/>
        <v>17.711392844428616</v>
      </c>
      <c r="AA97" s="1">
        <f t="shared" si="37"/>
        <v>7.829437522249914</v>
      </c>
      <c r="AB97" s="1">
        <f t="shared" si="38"/>
        <v>0.51406194375222514</v>
      </c>
    </row>
    <row r="98" spans="1:28" x14ac:dyDescent="0.3">
      <c r="B98" s="1">
        <v>1.5</v>
      </c>
      <c r="C98" s="1">
        <v>6</v>
      </c>
      <c r="D98" s="1">
        <f t="shared" si="20"/>
        <v>8357.7668843408392</v>
      </c>
      <c r="E98" s="1">
        <v>45.4</v>
      </c>
      <c r="F98" s="2">
        <f t="shared" si="21"/>
        <v>2.9757234756312853E-2</v>
      </c>
      <c r="G98" s="1">
        <v>3</v>
      </c>
      <c r="H98" s="1">
        <v>9</v>
      </c>
      <c r="I98" s="1">
        <v>5.6</v>
      </c>
      <c r="J98" s="3">
        <f t="shared" si="22"/>
        <v>0</v>
      </c>
      <c r="L98" s="1">
        <f t="shared" si="23"/>
        <v>-14.518867924528301</v>
      </c>
      <c r="M98" s="1">
        <f t="shared" si="24"/>
        <v>-4160.6232123390728</v>
      </c>
      <c r="N98" s="1">
        <f t="shared" si="25"/>
        <v>3.8169811320754619</v>
      </c>
      <c r="O98" s="2">
        <f t="shared" si="26"/>
        <v>-7.6734917998446173E-2</v>
      </c>
      <c r="P98" s="1">
        <f t="shared" si="27"/>
        <v>-2.1698113207547172</v>
      </c>
      <c r="Q98" s="1">
        <f t="shared" si="28"/>
        <v>1.1915094339622652</v>
      </c>
      <c r="R98" s="1">
        <f t="shared" si="29"/>
        <v>2.5018867924528294</v>
      </c>
      <c r="S98" s="1">
        <f t="shared" si="30"/>
        <v>-0.28301886792452829</v>
      </c>
      <c r="U98" s="1">
        <f t="shared" si="31"/>
        <v>210.79752580989674</v>
      </c>
      <c r="V98" s="1">
        <f t="shared" si="32"/>
        <v>17310785.515054706</v>
      </c>
      <c r="W98" s="1">
        <f t="shared" si="33"/>
        <v>14.569344962620075</v>
      </c>
      <c r="X98" s="1">
        <f t="shared" si="34"/>
        <v>5.8882476402282585E-3</v>
      </c>
      <c r="Y98" s="1">
        <f t="shared" si="35"/>
        <v>4.7080811676753305</v>
      </c>
      <c r="Z98" s="1">
        <f t="shared" si="36"/>
        <v>1.4196947312210775</v>
      </c>
      <c r="AA98" s="1">
        <f t="shared" si="37"/>
        <v>6.2594375222499075</v>
      </c>
      <c r="AB98" s="1">
        <f t="shared" si="38"/>
        <v>8.0099679601281587E-2</v>
      </c>
    </row>
    <row r="99" spans="1:28" x14ac:dyDescent="0.3">
      <c r="B99" s="1">
        <v>1.1000000000000001</v>
      </c>
      <c r="C99" s="1">
        <v>2</v>
      </c>
      <c r="D99" s="1">
        <f t="shared" si="20"/>
        <v>25744.652192982907</v>
      </c>
      <c r="E99" s="1">
        <v>41.3</v>
      </c>
      <c r="F99" s="2">
        <f t="shared" si="21"/>
        <v>0.16580227275602008</v>
      </c>
      <c r="G99" s="1">
        <v>0</v>
      </c>
      <c r="H99" s="1">
        <v>4.0999999999999996</v>
      </c>
      <c r="I99" s="1">
        <v>2.5</v>
      </c>
      <c r="J99" s="3">
        <f t="shared" si="22"/>
        <v>0</v>
      </c>
      <c r="L99" s="1">
        <f t="shared" si="23"/>
        <v>-18.518867924528301</v>
      </c>
      <c r="M99" s="1">
        <f t="shared" si="24"/>
        <v>13226.262096302995</v>
      </c>
      <c r="N99" s="1">
        <f t="shared" si="25"/>
        <v>-0.28301886792453956</v>
      </c>
      <c r="O99" s="2">
        <f t="shared" si="26"/>
        <v>5.9310120001261055E-2</v>
      </c>
      <c r="P99" s="1">
        <f t="shared" si="27"/>
        <v>-5.1698113207547172</v>
      </c>
      <c r="Q99" s="1">
        <f t="shared" si="28"/>
        <v>-3.7084905660377352</v>
      </c>
      <c r="R99" s="1">
        <f t="shared" si="29"/>
        <v>-0.59811320754717023</v>
      </c>
      <c r="S99" s="1">
        <f t="shared" si="30"/>
        <v>-0.28301886792452829</v>
      </c>
      <c r="U99" s="1">
        <f t="shared" si="31"/>
        <v>342.94846920612315</v>
      </c>
      <c r="V99" s="1">
        <f t="shared" si="32"/>
        <v>174934009.04010129</v>
      </c>
      <c r="W99" s="1">
        <f t="shared" si="33"/>
        <v>8.0099679601287971E-2</v>
      </c>
      <c r="X99" s="1">
        <f t="shared" si="34"/>
        <v>3.5176903345639867E-3</v>
      </c>
      <c r="Y99" s="1">
        <f t="shared" si="35"/>
        <v>26.726949092203633</v>
      </c>
      <c r="Z99" s="1">
        <f t="shared" si="36"/>
        <v>13.752902278390881</v>
      </c>
      <c r="AA99" s="1">
        <f t="shared" si="37"/>
        <v>0.35773940904236434</v>
      </c>
      <c r="AB99" s="1">
        <f t="shared" si="38"/>
        <v>8.0099679601281587E-2</v>
      </c>
    </row>
    <row r="100" spans="1:28" x14ac:dyDescent="0.3">
      <c r="B100" s="1">
        <v>1.6</v>
      </c>
      <c r="C100" s="1">
        <v>6</v>
      </c>
      <c r="D100" s="1">
        <f t="shared" si="20"/>
        <v>15000.386472226568</v>
      </c>
      <c r="E100" s="1">
        <v>45.4</v>
      </c>
      <c r="F100" s="2">
        <f t="shared" si="21"/>
        <v>0.16118272956358676</v>
      </c>
      <c r="G100" s="1">
        <v>3</v>
      </c>
      <c r="H100" s="1">
        <v>6.7</v>
      </c>
      <c r="I100" s="1">
        <v>5.8</v>
      </c>
      <c r="J100" s="3">
        <f t="shared" si="22"/>
        <v>0</v>
      </c>
      <c r="L100" s="1">
        <f t="shared" si="23"/>
        <v>-14.518867924528301</v>
      </c>
      <c r="M100" s="1">
        <f t="shared" si="24"/>
        <v>2481.9963755466561</v>
      </c>
      <c r="N100" s="1">
        <f t="shared" si="25"/>
        <v>3.8169811320754619</v>
      </c>
      <c r="O100" s="2">
        <f t="shared" si="26"/>
        <v>5.4690576808827732E-2</v>
      </c>
      <c r="P100" s="1">
        <f t="shared" si="27"/>
        <v>-2.1698113207547172</v>
      </c>
      <c r="Q100" s="1">
        <f t="shared" si="28"/>
        <v>-1.1084905660377347</v>
      </c>
      <c r="R100" s="1">
        <f t="shared" si="29"/>
        <v>2.7018867924528296</v>
      </c>
      <c r="S100" s="1">
        <f t="shared" si="30"/>
        <v>-0.28301886792452829</v>
      </c>
      <c r="U100" s="1">
        <f t="shared" si="31"/>
        <v>210.79752580989674</v>
      </c>
      <c r="V100" s="1">
        <f t="shared" si="32"/>
        <v>6160306.0082267374</v>
      </c>
      <c r="W100" s="1">
        <f t="shared" si="33"/>
        <v>14.569344962620075</v>
      </c>
      <c r="X100" s="1">
        <f t="shared" si="34"/>
        <v>2.9910591916822858E-3</v>
      </c>
      <c r="Y100" s="1">
        <f t="shared" si="35"/>
        <v>4.7080811676753305</v>
      </c>
      <c r="Z100" s="1">
        <f t="shared" si="36"/>
        <v>1.2287513349946573</v>
      </c>
      <c r="AA100" s="1">
        <f t="shared" si="37"/>
        <v>7.3001922392310394</v>
      </c>
      <c r="AB100" s="1">
        <f t="shared" si="38"/>
        <v>8.0099679601281587E-2</v>
      </c>
    </row>
    <row r="101" spans="1:28" x14ac:dyDescent="0.3">
      <c r="B101" s="1">
        <v>1.6</v>
      </c>
      <c r="C101" s="1">
        <v>2</v>
      </c>
      <c r="D101" s="1">
        <f t="shared" si="20"/>
        <v>17739.057153219575</v>
      </c>
      <c r="E101" s="1">
        <v>46.1</v>
      </c>
      <c r="F101" s="2">
        <f t="shared" si="21"/>
        <v>0.18278563381880555</v>
      </c>
      <c r="G101" s="1">
        <v>0</v>
      </c>
      <c r="H101" s="1">
        <v>5</v>
      </c>
      <c r="I101" s="1">
        <v>4.5</v>
      </c>
      <c r="J101" s="3">
        <f t="shared" si="22"/>
        <v>0</v>
      </c>
      <c r="L101" s="1">
        <f t="shared" si="23"/>
        <v>-18.518867924528301</v>
      </c>
      <c r="M101" s="1">
        <f t="shared" si="24"/>
        <v>5220.6670565396635</v>
      </c>
      <c r="N101" s="1">
        <f t="shared" si="25"/>
        <v>4.5169811320754647</v>
      </c>
      <c r="O101" s="2">
        <f t="shared" si="26"/>
        <v>7.6293481064046528E-2</v>
      </c>
      <c r="P101" s="1">
        <f t="shared" si="27"/>
        <v>-5.1698113207547172</v>
      </c>
      <c r="Q101" s="1">
        <f t="shared" si="28"/>
        <v>-2.8084905660377348</v>
      </c>
      <c r="R101" s="1">
        <f t="shared" si="29"/>
        <v>1.4018867924528298</v>
      </c>
      <c r="S101" s="1">
        <f t="shared" si="30"/>
        <v>-0.28301886792452829</v>
      </c>
      <c r="U101" s="1">
        <f t="shared" si="31"/>
        <v>342.94846920612315</v>
      </c>
      <c r="V101" s="1">
        <f t="shared" si="32"/>
        <v>27255364.515238512</v>
      </c>
      <c r="W101" s="1">
        <f t="shared" si="33"/>
        <v>20.403118547525747</v>
      </c>
      <c r="X101" s="1">
        <f t="shared" si="34"/>
        <v>5.820695252870026E-3</v>
      </c>
      <c r="Y101" s="1">
        <f t="shared" si="35"/>
        <v>26.726949092203633</v>
      </c>
      <c r="Z101" s="1">
        <f t="shared" si="36"/>
        <v>7.887619259522956</v>
      </c>
      <c r="AA101" s="1">
        <f t="shared" si="37"/>
        <v>1.9652865788536833</v>
      </c>
      <c r="AB101" s="1">
        <f t="shared" si="38"/>
        <v>8.0099679601281587E-2</v>
      </c>
    </row>
    <row r="102" spans="1:28" x14ac:dyDescent="0.3">
      <c r="B102" s="1">
        <v>1.7</v>
      </c>
      <c r="C102" s="1">
        <v>3</v>
      </c>
      <c r="D102" s="1">
        <f t="shared" si="20"/>
        <v>22987.164907545251</v>
      </c>
      <c r="E102" s="1">
        <v>47</v>
      </c>
      <c r="F102" s="2">
        <f t="shared" si="21"/>
        <v>0.28318892513465088</v>
      </c>
      <c r="G102" s="1">
        <v>0</v>
      </c>
      <c r="H102" s="1">
        <v>8.3000000000000007</v>
      </c>
      <c r="I102" s="1">
        <v>2.2000000000000002</v>
      </c>
      <c r="J102" s="3">
        <f t="shared" si="22"/>
        <v>0</v>
      </c>
      <c r="L102" s="1">
        <f t="shared" si="23"/>
        <v>-17.518867924528301</v>
      </c>
      <c r="M102" s="1">
        <f t="shared" si="24"/>
        <v>10468.77481086534</v>
      </c>
      <c r="N102" s="1">
        <f t="shared" si="25"/>
        <v>5.4169811320754633</v>
      </c>
      <c r="O102" s="2">
        <f t="shared" si="26"/>
        <v>0.17669677237989184</v>
      </c>
      <c r="P102" s="1">
        <f t="shared" si="27"/>
        <v>-5.1698113207547172</v>
      </c>
      <c r="Q102" s="1">
        <f t="shared" si="28"/>
        <v>0.49150943396226587</v>
      </c>
      <c r="R102" s="1">
        <f t="shared" si="29"/>
        <v>-0.89811320754717006</v>
      </c>
      <c r="S102" s="1">
        <f t="shared" si="30"/>
        <v>-0.28301886792452829</v>
      </c>
      <c r="U102" s="1">
        <f t="shared" si="31"/>
        <v>306.91073335706653</v>
      </c>
      <c r="V102" s="1">
        <f t="shared" si="32"/>
        <v>109595246.04060863</v>
      </c>
      <c r="W102" s="1">
        <f t="shared" si="33"/>
        <v>29.343684585261567</v>
      </c>
      <c r="X102" s="1">
        <f t="shared" si="34"/>
        <v>3.1221749369471308E-2</v>
      </c>
      <c r="Y102" s="1">
        <f t="shared" si="35"/>
        <v>26.726949092203633</v>
      </c>
      <c r="Z102" s="1">
        <f t="shared" si="36"/>
        <v>0.24158152367390701</v>
      </c>
      <c r="AA102" s="1">
        <f t="shared" si="37"/>
        <v>0.80660733357066616</v>
      </c>
      <c r="AB102" s="1">
        <f t="shared" si="38"/>
        <v>8.0099679601281587E-2</v>
      </c>
    </row>
    <row r="103" spans="1:28" x14ac:dyDescent="0.3">
      <c r="B103" s="1">
        <v>1.5</v>
      </c>
      <c r="C103" s="1">
        <v>4</v>
      </c>
      <c r="D103" s="1">
        <f t="shared" si="20"/>
        <v>31447.670389301809</v>
      </c>
      <c r="E103" s="1">
        <v>46.7</v>
      </c>
      <c r="F103" s="2">
        <f t="shared" si="21"/>
        <v>0.2079813537783626</v>
      </c>
      <c r="G103" s="1">
        <v>0</v>
      </c>
      <c r="H103" s="1">
        <v>4.8</v>
      </c>
      <c r="I103" s="1">
        <v>4.7</v>
      </c>
      <c r="J103" s="3">
        <f t="shared" si="22"/>
        <v>0</v>
      </c>
      <c r="L103" s="1">
        <f t="shared" si="23"/>
        <v>-16.518867924528301</v>
      </c>
      <c r="M103" s="1">
        <f t="shared" si="24"/>
        <v>18929.280292621897</v>
      </c>
      <c r="N103" s="1">
        <f t="shared" si="25"/>
        <v>5.1169811320754661</v>
      </c>
      <c r="O103" s="2">
        <f t="shared" si="26"/>
        <v>0.10148920102360358</v>
      </c>
      <c r="P103" s="1">
        <f t="shared" si="27"/>
        <v>-5.1698113207547172</v>
      </c>
      <c r="Q103" s="1">
        <f t="shared" si="28"/>
        <v>-3.008490566037735</v>
      </c>
      <c r="R103" s="1">
        <f t="shared" si="29"/>
        <v>1.6018867924528299</v>
      </c>
      <c r="S103" s="1">
        <f t="shared" si="30"/>
        <v>-0.28301886792452829</v>
      </c>
      <c r="U103" s="1">
        <f t="shared" si="31"/>
        <v>272.87299750800997</v>
      </c>
      <c r="V103" s="1">
        <f t="shared" si="32"/>
        <v>358317652.39664376</v>
      </c>
      <c r="W103" s="1">
        <f t="shared" si="33"/>
        <v>26.183495906016319</v>
      </c>
      <c r="X103" s="1">
        <f t="shared" si="34"/>
        <v>1.0300057924409418E-2</v>
      </c>
      <c r="Y103" s="1">
        <f t="shared" si="35"/>
        <v>26.726949092203633</v>
      </c>
      <c r="Z103" s="1">
        <f t="shared" si="36"/>
        <v>9.0510154859380521</v>
      </c>
      <c r="AA103" s="1">
        <f t="shared" si="37"/>
        <v>2.566041295834816</v>
      </c>
      <c r="AB103" s="1">
        <f t="shared" si="38"/>
        <v>8.0099679601281587E-2</v>
      </c>
    </row>
    <row r="104" spans="1:28" x14ac:dyDescent="0.3">
      <c r="B104" s="1">
        <v>4.8</v>
      </c>
      <c r="C104" s="1">
        <v>49</v>
      </c>
      <c r="D104" s="1">
        <f t="shared" si="20"/>
        <v>1751.6231651345968</v>
      </c>
      <c r="E104" s="1">
        <v>49.2</v>
      </c>
      <c r="F104" s="2">
        <f t="shared" si="21"/>
        <v>1.6740823492491355E-2</v>
      </c>
      <c r="G104" s="1">
        <v>16</v>
      </c>
      <c r="H104" s="1">
        <v>2.5</v>
      </c>
      <c r="I104" s="1">
        <v>0.7</v>
      </c>
      <c r="J104" s="3">
        <f t="shared" si="22"/>
        <v>1</v>
      </c>
      <c r="L104" s="1">
        <f t="shared" si="23"/>
        <v>28.481132075471699</v>
      </c>
      <c r="M104" s="1">
        <f t="shared" si="24"/>
        <v>-10766.766931545315</v>
      </c>
      <c r="N104" s="1">
        <f t="shared" si="25"/>
        <v>7.6169811320754661</v>
      </c>
      <c r="O104" s="2">
        <f t="shared" si="26"/>
        <v>-8.9751329262267671E-2</v>
      </c>
      <c r="P104" s="1">
        <f t="shared" si="27"/>
        <v>10.830188679245282</v>
      </c>
      <c r="Q104" s="1">
        <f t="shared" si="28"/>
        <v>-5.3084905660377348</v>
      </c>
      <c r="R104" s="1">
        <f t="shared" si="29"/>
        <v>-2.3981132075471701</v>
      </c>
      <c r="S104" s="1">
        <f t="shared" si="30"/>
        <v>0.71698113207547176</v>
      </c>
      <c r="U104" s="1">
        <f t="shared" si="31"/>
        <v>811.17488430046285</v>
      </c>
      <c r="V104" s="1">
        <f t="shared" si="32"/>
        <v>115923270.15821771</v>
      </c>
      <c r="W104" s="1">
        <f t="shared" si="33"/>
        <v>58.018401566393649</v>
      </c>
      <c r="X104" s="1">
        <f t="shared" si="34"/>
        <v>8.0553011043439857E-3</v>
      </c>
      <c r="Y104" s="1">
        <f t="shared" si="35"/>
        <v>117.29298682805266</v>
      </c>
      <c r="Z104" s="1">
        <f t="shared" si="36"/>
        <v>28.180072089711629</v>
      </c>
      <c r="AA104" s="1">
        <f t="shared" si="37"/>
        <v>5.750946956212176</v>
      </c>
      <c r="AB104" s="1">
        <f t="shared" si="38"/>
        <v>0.51406194375222514</v>
      </c>
    </row>
    <row r="105" spans="1:28" x14ac:dyDescent="0.3">
      <c r="B105" s="1">
        <v>6.3</v>
      </c>
      <c r="C105" s="1">
        <v>110</v>
      </c>
      <c r="D105" s="1">
        <f t="shared" si="20"/>
        <v>1391.9407831454103</v>
      </c>
      <c r="E105" s="1">
        <v>40.4</v>
      </c>
      <c r="F105" s="2">
        <f t="shared" si="21"/>
        <v>2.1307859361309699E-2</v>
      </c>
      <c r="G105" s="1">
        <v>26</v>
      </c>
      <c r="H105" s="1">
        <v>1.7</v>
      </c>
      <c r="I105" s="1">
        <v>0.1</v>
      </c>
      <c r="J105" s="3">
        <f t="shared" si="22"/>
        <v>1</v>
      </c>
      <c r="L105" s="1">
        <f t="shared" si="23"/>
        <v>89.481132075471692</v>
      </c>
      <c r="M105" s="1">
        <f t="shared" si="24"/>
        <v>-11126.449313534502</v>
      </c>
      <c r="N105" s="1">
        <f t="shared" si="25"/>
        <v>-1.1830188679245381</v>
      </c>
      <c r="O105" s="2">
        <f t="shared" si="26"/>
        <v>-8.5184293393449323E-2</v>
      </c>
      <c r="P105" s="1">
        <f t="shared" si="27"/>
        <v>20.830188679245282</v>
      </c>
      <c r="Q105" s="1">
        <f t="shared" si="28"/>
        <v>-6.1084905660377347</v>
      </c>
      <c r="R105" s="1">
        <f t="shared" si="29"/>
        <v>-2.9981132075471701</v>
      </c>
      <c r="S105" s="1">
        <f t="shared" si="30"/>
        <v>0.71698113207547176</v>
      </c>
      <c r="U105" s="1">
        <f t="shared" si="31"/>
        <v>8006.8729975080087</v>
      </c>
      <c r="V105" s="1">
        <f t="shared" si="32"/>
        <v>123797874.32665239</v>
      </c>
      <c r="W105" s="1">
        <f t="shared" si="33"/>
        <v>1.3995336418654558</v>
      </c>
      <c r="X105" s="1">
        <f t="shared" si="34"/>
        <v>7.2563638409412542E-3</v>
      </c>
      <c r="Y105" s="1">
        <f t="shared" si="35"/>
        <v>433.89676041295832</v>
      </c>
      <c r="Z105" s="1">
        <f t="shared" si="36"/>
        <v>37.313656995372007</v>
      </c>
      <c r="AA105" s="1">
        <f t="shared" si="37"/>
        <v>8.9886828052687804</v>
      </c>
      <c r="AB105" s="1">
        <f t="shared" si="38"/>
        <v>0.51406194375222514</v>
      </c>
    </row>
    <row r="106" spans="1:28" x14ac:dyDescent="0.3">
      <c r="B106" s="1">
        <v>1.3</v>
      </c>
      <c r="C106" s="1">
        <v>9</v>
      </c>
      <c r="D106" s="1">
        <f t="shared" si="20"/>
        <v>9365.0065333831481</v>
      </c>
      <c r="E106" s="1">
        <v>45.8</v>
      </c>
      <c r="F106" s="2">
        <f t="shared" si="21"/>
        <v>2.8653304160067214E-3</v>
      </c>
      <c r="G106" s="1">
        <v>3</v>
      </c>
      <c r="H106" s="1">
        <v>1.1000000000000001</v>
      </c>
      <c r="I106" s="1">
        <v>2.1</v>
      </c>
      <c r="J106" s="3">
        <f t="shared" si="22"/>
        <v>1</v>
      </c>
      <c r="L106" s="1">
        <f t="shared" si="23"/>
        <v>-11.518867924528301</v>
      </c>
      <c r="M106" s="1">
        <f t="shared" si="24"/>
        <v>-3153.3835632967639</v>
      </c>
      <c r="N106" s="1">
        <f t="shared" si="25"/>
        <v>4.2169811320754604</v>
      </c>
      <c r="O106" s="2">
        <f t="shared" si="26"/>
        <v>-0.10362682233875231</v>
      </c>
      <c r="P106" s="1">
        <f t="shared" si="27"/>
        <v>-2.1698113207547172</v>
      </c>
      <c r="Q106" s="1">
        <f t="shared" si="28"/>
        <v>-6.7084905660377352</v>
      </c>
      <c r="R106" s="1">
        <f t="shared" si="29"/>
        <v>-0.99811320754717014</v>
      </c>
      <c r="S106" s="1">
        <f t="shared" si="30"/>
        <v>0.71698113207547176</v>
      </c>
      <c r="U106" s="1">
        <f t="shared" si="31"/>
        <v>132.68431826272695</v>
      </c>
      <c r="V106" s="1">
        <f t="shared" si="32"/>
        <v>9943827.8972701952</v>
      </c>
      <c r="W106" s="1">
        <f t="shared" si="33"/>
        <v>17.782929868280434</v>
      </c>
      <c r="X106" s="1">
        <f t="shared" si="34"/>
        <v>1.0738518308027335E-2</v>
      </c>
      <c r="Y106" s="1">
        <f t="shared" si="35"/>
        <v>4.7080811676753305</v>
      </c>
      <c r="Z106" s="1">
        <f t="shared" si="36"/>
        <v>45.003845674617295</v>
      </c>
      <c r="AA106" s="1">
        <f t="shared" si="37"/>
        <v>0.99622997508010036</v>
      </c>
      <c r="AB106" s="1">
        <f t="shared" si="38"/>
        <v>0.51406194375222514</v>
      </c>
    </row>
    <row r="107" spans="1:28" x14ac:dyDescent="0.3">
      <c r="B107" s="1">
        <v>4.3</v>
      </c>
      <c r="C107" s="1">
        <v>64</v>
      </c>
      <c r="D107" s="1">
        <f t="shared" si="20"/>
        <v>1569.7358675080845</v>
      </c>
      <c r="E107" s="1">
        <v>48.3</v>
      </c>
      <c r="F107" s="2">
        <f t="shared" si="21"/>
        <v>5.4356202719162999E-2</v>
      </c>
      <c r="G107" s="1">
        <v>1</v>
      </c>
      <c r="H107" s="1">
        <v>3.9</v>
      </c>
      <c r="I107" s="1">
        <v>0.7</v>
      </c>
      <c r="J107" s="3">
        <f t="shared" si="22"/>
        <v>1</v>
      </c>
      <c r="L107" s="1">
        <f t="shared" si="23"/>
        <v>43.481132075471699</v>
      </c>
      <c r="M107" s="1">
        <f t="shared" si="24"/>
        <v>-10948.654229171827</v>
      </c>
      <c r="N107" s="1">
        <f t="shared" si="25"/>
        <v>6.7169811320754604</v>
      </c>
      <c r="O107" s="2">
        <f t="shared" si="26"/>
        <v>-5.2135950035596026E-2</v>
      </c>
      <c r="P107" s="1">
        <f t="shared" si="27"/>
        <v>-4.1698113207547172</v>
      </c>
      <c r="Q107" s="1">
        <f t="shared" si="28"/>
        <v>-3.9084905660377349</v>
      </c>
      <c r="R107" s="1">
        <f t="shared" si="29"/>
        <v>-2.3981132075471701</v>
      </c>
      <c r="S107" s="1">
        <f t="shared" si="30"/>
        <v>0.71698113207547176</v>
      </c>
      <c r="U107" s="1">
        <f t="shared" si="31"/>
        <v>1890.6088465646137</v>
      </c>
      <c r="V107" s="1">
        <f t="shared" si="32"/>
        <v>119873029.42996213</v>
      </c>
      <c r="W107" s="1">
        <f t="shared" si="33"/>
        <v>45.117835528657736</v>
      </c>
      <c r="X107" s="1">
        <f t="shared" si="34"/>
        <v>2.7181572861141655E-3</v>
      </c>
      <c r="Y107" s="1">
        <f t="shared" si="35"/>
        <v>17.3873264506942</v>
      </c>
      <c r="Z107" s="1">
        <f t="shared" si="36"/>
        <v>15.276298504805974</v>
      </c>
      <c r="AA107" s="1">
        <f t="shared" si="37"/>
        <v>5.750946956212176</v>
      </c>
      <c r="AB107" s="1">
        <f t="shared" si="38"/>
        <v>0.51406194375222514</v>
      </c>
    </row>
    <row r="108" spans="1:28" x14ac:dyDescent="0.3">
      <c r="B108" s="1">
        <v>3.3</v>
      </c>
      <c r="C108" s="1">
        <v>11</v>
      </c>
      <c r="D108" s="1">
        <f t="shared" si="20"/>
        <v>5689.6731160414402</v>
      </c>
      <c r="E108" s="1">
        <v>41.9</v>
      </c>
      <c r="F108" s="2">
        <f t="shared" si="21"/>
        <v>9.4611854865414638E-2</v>
      </c>
      <c r="G108" s="1">
        <v>1</v>
      </c>
      <c r="H108" s="1">
        <v>3.6</v>
      </c>
      <c r="I108" s="1">
        <v>2.6</v>
      </c>
      <c r="J108" s="3">
        <f t="shared" si="22"/>
        <v>1</v>
      </c>
      <c r="L108" s="1">
        <f t="shared" si="23"/>
        <v>-9.5188679245283012</v>
      </c>
      <c r="M108" s="1">
        <f t="shared" si="24"/>
        <v>-6828.7169806384718</v>
      </c>
      <c r="N108" s="1">
        <f t="shared" si="25"/>
        <v>0.31698113207546186</v>
      </c>
      <c r="O108" s="2">
        <f t="shared" si="26"/>
        <v>-1.1880297889344388E-2</v>
      </c>
      <c r="P108" s="1">
        <f t="shared" si="27"/>
        <v>-4.1698113207547172</v>
      </c>
      <c r="Q108" s="1">
        <f t="shared" si="28"/>
        <v>-4.2084905660377352</v>
      </c>
      <c r="R108" s="1">
        <f t="shared" si="29"/>
        <v>-0.49811320754717014</v>
      </c>
      <c r="S108" s="1">
        <f t="shared" si="30"/>
        <v>0.71698113207547176</v>
      </c>
      <c r="U108" s="1">
        <f>L108^2</f>
        <v>90.608846564613728</v>
      </c>
      <c r="V108" s="1">
        <f t="shared" si="32"/>
        <v>46631375.601660207</v>
      </c>
      <c r="W108" s="1">
        <f t="shared" si="33"/>
        <v>0.1004770380918414</v>
      </c>
      <c r="X108" s="1">
        <f t="shared" si="34"/>
        <v>1.4114147793956071E-4</v>
      </c>
      <c r="Y108" s="1">
        <f t="shared" si="35"/>
        <v>17.3873264506942</v>
      </c>
      <c r="Z108" s="1">
        <f t="shared" si="36"/>
        <v>17.711392844428616</v>
      </c>
      <c r="AA108" s="1">
        <f t="shared" si="37"/>
        <v>0.24811676753293019</v>
      </c>
      <c r="AB108" s="1">
        <f t="shared" si="38"/>
        <v>0.51406194375222514</v>
      </c>
    </row>
    <row r="109" spans="1:28" x14ac:dyDescent="0.3">
      <c r="A109" s="29" t="s">
        <v>143</v>
      </c>
      <c r="B109" s="29"/>
      <c r="C109" s="29">
        <f>AVERAGE(C3:C108)</f>
        <v>20.518867924528301</v>
      </c>
      <c r="D109" s="29">
        <f t="shared" ref="D109:J109" si="39">AVERAGE(D3:D108)</f>
        <v>12518.390096679912</v>
      </c>
      <c r="E109" s="29">
        <f t="shared" si="39"/>
        <v>41.583018867924537</v>
      </c>
      <c r="F109" s="29">
        <f t="shared" si="39"/>
        <v>0.10649215275475903</v>
      </c>
      <c r="G109" s="29">
        <f t="shared" si="39"/>
        <v>5.1698113207547172</v>
      </c>
      <c r="H109" s="29">
        <f t="shared" si="39"/>
        <v>7.8084905660377348</v>
      </c>
      <c r="I109" s="29">
        <f t="shared" si="39"/>
        <v>3.0981132075471702</v>
      </c>
      <c r="J109" s="29">
        <f t="shared" si="39"/>
        <v>0.28301886792452829</v>
      </c>
      <c r="T109" s="1" t="s">
        <v>144</v>
      </c>
      <c r="U109" s="1">
        <f>SUM(U3:U108)</f>
        <v>62192.462264150956</v>
      </c>
      <c r="V109" s="1">
        <f t="shared" ref="V109:AB109" si="40">SUM(V3:V108)</f>
        <v>7969031816.8862734</v>
      </c>
      <c r="W109" s="1">
        <f t="shared" si="40"/>
        <v>8848.789433962258</v>
      </c>
      <c r="X109" s="1">
        <f t="shared" si="40"/>
        <v>2.227930367656433</v>
      </c>
      <c r="Y109" s="1">
        <f t="shared" si="40"/>
        <v>6524.943396226412</v>
      </c>
      <c r="Z109" s="1">
        <f t="shared" si="40"/>
        <v>3714.5023584905671</v>
      </c>
      <c r="AA109" s="1">
        <f t="shared" si="40"/>
        <v>658.21462264150978</v>
      </c>
      <c r="AB109" s="1">
        <f t="shared" si="40"/>
        <v>21.509433962264126</v>
      </c>
    </row>
    <row r="110" spans="1:28" x14ac:dyDescent="0.3">
      <c r="A110" s="33" t="s">
        <v>145</v>
      </c>
      <c r="B110" s="33"/>
      <c r="C110" s="30">
        <v>10</v>
      </c>
      <c r="D110" s="30">
        <f>D306*1000000/B306</f>
        <v>13064.693613459111</v>
      </c>
      <c r="E110" s="33">
        <v>31.6</v>
      </c>
      <c r="F110" s="31">
        <f>C306/B306</f>
        <v>1.1382625325935845E-2</v>
      </c>
      <c r="G110" s="33">
        <v>5</v>
      </c>
      <c r="H110" s="33">
        <v>13.1</v>
      </c>
      <c r="I110" s="33">
        <v>2.8</v>
      </c>
      <c r="J110" s="32">
        <v>0</v>
      </c>
    </row>
    <row r="111" spans="1:28" x14ac:dyDescent="0.3">
      <c r="A111" s="1" t="s">
        <v>146</v>
      </c>
      <c r="B111" s="1"/>
      <c r="C111" s="1">
        <f>(C110-C109)^2/U109</f>
        <v>1.7790995626402357E-3</v>
      </c>
      <c r="D111" s="1">
        <f t="shared" ref="D111:J111" si="41">(D110-D109)^2/V109</f>
        <v>3.7450914904482343E-5</v>
      </c>
      <c r="E111" s="1">
        <f t="shared" si="41"/>
        <v>1.1262632754581415E-2</v>
      </c>
      <c r="F111" s="1">
        <f t="shared" si="41"/>
        <v>4.0601907218713474E-3</v>
      </c>
      <c r="G111" s="1">
        <f t="shared" si="41"/>
        <v>4.4193310049460617E-6</v>
      </c>
      <c r="H111" s="1">
        <f t="shared" si="41"/>
        <v>7.5380412737413947E-3</v>
      </c>
      <c r="I111" s="1">
        <f t="shared" si="41"/>
        <v>1.3501900665379977E-4</v>
      </c>
      <c r="J111" s="1">
        <f t="shared" si="41"/>
        <v>3.7239324726911658E-3</v>
      </c>
    </row>
    <row r="112" spans="1:28" x14ac:dyDescent="0.3">
      <c r="A112" s="34" t="s">
        <v>147</v>
      </c>
      <c r="B112" s="28">
        <f>SUM(C111:J111)</f>
        <v>2.8540786038088788E-2</v>
      </c>
    </row>
    <row r="199" spans="2:4" x14ac:dyDescent="0.3">
      <c r="B199" s="7" t="s">
        <v>11</v>
      </c>
      <c r="C199" s="4" t="s">
        <v>12</v>
      </c>
      <c r="D199" s="4" t="s">
        <v>13</v>
      </c>
    </row>
    <row r="200" spans="2:4" x14ac:dyDescent="0.3">
      <c r="B200" s="13">
        <v>59308690</v>
      </c>
      <c r="C200" s="1">
        <v>8220000</v>
      </c>
      <c r="D200" s="1">
        <v>498708.43</v>
      </c>
    </row>
    <row r="201" spans="2:4" x14ac:dyDescent="0.3">
      <c r="B201" s="13">
        <v>2877797</v>
      </c>
      <c r="C201" s="1">
        <v>30000</v>
      </c>
      <c r="D201" s="1">
        <v>24712.06</v>
      </c>
    </row>
    <row r="202" spans="2:4" x14ac:dyDescent="0.3">
      <c r="B202" s="13">
        <v>43851044</v>
      </c>
      <c r="C202" s="1">
        <v>740000</v>
      </c>
      <c r="D202" s="1">
        <v>224075.65</v>
      </c>
    </row>
    <row r="203" spans="2:4" x14ac:dyDescent="0.3">
      <c r="B203" s="13">
        <v>83783942</v>
      </c>
      <c r="C203" s="1">
        <v>21150000</v>
      </c>
      <c r="D203" s="1">
        <v>2192838.77</v>
      </c>
    </row>
    <row r="204" spans="2:4" x14ac:dyDescent="0.3">
      <c r="B204" s="13">
        <v>34813871</v>
      </c>
      <c r="C204" s="1">
        <v>210000</v>
      </c>
      <c r="D204" s="1">
        <v>673092.53</v>
      </c>
    </row>
    <row r="205" spans="2:4" x14ac:dyDescent="0.3">
      <c r="B205" s="13">
        <v>2963243</v>
      </c>
      <c r="C205" s="1">
        <v>40000</v>
      </c>
      <c r="D205" s="1">
        <v>27817.95</v>
      </c>
    </row>
    <row r="206" spans="2:4" x14ac:dyDescent="0.3">
      <c r="B206" s="13">
        <v>25499884</v>
      </c>
      <c r="C206" s="1">
        <v>6990000</v>
      </c>
      <c r="D206" s="1">
        <v>659411.06000000006</v>
      </c>
    </row>
    <row r="207" spans="2:4" x14ac:dyDescent="0.3">
      <c r="B207" s="13">
        <v>9006398</v>
      </c>
      <c r="C207" s="1">
        <v>1250000</v>
      </c>
      <c r="D207" s="1">
        <v>232613.41</v>
      </c>
    </row>
    <row r="208" spans="2:4" x14ac:dyDescent="0.3">
      <c r="B208" s="13">
        <v>10139177</v>
      </c>
      <c r="C208" s="1">
        <v>10000</v>
      </c>
      <c r="D208" s="1">
        <v>88852.75</v>
      </c>
    </row>
    <row r="209" spans="2:4" x14ac:dyDescent="0.3">
      <c r="B209" s="13">
        <v>1701575</v>
      </c>
      <c r="C209" s="1">
        <v>30000</v>
      </c>
      <c r="D209" s="1">
        <v>28166.51</v>
      </c>
    </row>
    <row r="210" spans="2:4" x14ac:dyDescent="0.3">
      <c r="B210" s="13">
        <v>11589623</v>
      </c>
      <c r="C210" s="1">
        <v>3370000</v>
      </c>
      <c r="D210" s="1">
        <v>273427.21999999997</v>
      </c>
    </row>
    <row r="211" spans="2:4" x14ac:dyDescent="0.3">
      <c r="B211" s="13">
        <v>397628</v>
      </c>
      <c r="C211" s="1">
        <v>30000</v>
      </c>
      <c r="D211" s="1">
        <v>1720.71</v>
      </c>
    </row>
    <row r="212" spans="2:4" x14ac:dyDescent="0.3">
      <c r="B212" s="13">
        <v>12123200</v>
      </c>
      <c r="C212" s="1">
        <v>600000</v>
      </c>
      <c r="D212" s="1">
        <v>28647.97</v>
      </c>
    </row>
    <row r="213" spans="2:4" x14ac:dyDescent="0.3">
      <c r="B213" s="13">
        <v>771608</v>
      </c>
      <c r="C213" s="1">
        <v>10000</v>
      </c>
      <c r="D213" s="1">
        <v>4997.2700000000004</v>
      </c>
    </row>
    <row r="214" spans="2:4" x14ac:dyDescent="0.3">
      <c r="B214" s="13">
        <v>11673021</v>
      </c>
      <c r="C214" s="1">
        <v>480000</v>
      </c>
      <c r="D214" s="1">
        <v>67582.45</v>
      </c>
    </row>
    <row r="215" spans="2:4" x14ac:dyDescent="0.3">
      <c r="B215" s="13">
        <v>217374417</v>
      </c>
      <c r="C215" s="1">
        <v>17620000</v>
      </c>
      <c r="D215" s="1">
        <v>1919672.75</v>
      </c>
    </row>
    <row r="216" spans="2:4" x14ac:dyDescent="0.3">
      <c r="B216" s="13">
        <v>437479</v>
      </c>
      <c r="C216" s="1">
        <v>10000</v>
      </c>
      <c r="D216" s="1">
        <v>5814.96</v>
      </c>
    </row>
    <row r="217" spans="2:4" x14ac:dyDescent="0.3">
      <c r="B217" s="13">
        <v>6948445</v>
      </c>
      <c r="C217" s="1">
        <v>320000</v>
      </c>
      <c r="D217" s="1">
        <v>89867.73</v>
      </c>
    </row>
    <row r="218" spans="2:4" x14ac:dyDescent="0.3">
      <c r="B218" s="13">
        <v>11890784</v>
      </c>
      <c r="C218" s="1">
        <v>10000</v>
      </c>
      <c r="D218" s="1">
        <v>6894.07</v>
      </c>
    </row>
    <row r="219" spans="2:4" x14ac:dyDescent="0.3">
      <c r="B219" s="13">
        <v>555987</v>
      </c>
      <c r="C219" s="1">
        <v>50000</v>
      </c>
      <c r="D219" s="1">
        <v>2256.2600000000002</v>
      </c>
    </row>
    <row r="220" spans="2:4" x14ac:dyDescent="0.3">
      <c r="B220" s="13">
        <v>16718965</v>
      </c>
      <c r="C220" s="1">
        <v>30000</v>
      </c>
      <c r="D220" s="1">
        <v>48545.57</v>
      </c>
    </row>
    <row r="221" spans="2:4" x14ac:dyDescent="0.3">
      <c r="B221" s="13">
        <v>26545863</v>
      </c>
      <c r="C221" s="1">
        <v>1260000</v>
      </c>
      <c r="D221" s="1">
        <v>72298.83</v>
      </c>
    </row>
    <row r="222" spans="2:4" x14ac:dyDescent="0.3">
      <c r="B222" s="13">
        <v>37742154</v>
      </c>
      <c r="C222" s="1">
        <v>8950000</v>
      </c>
      <c r="D222" s="1">
        <v>953716.03</v>
      </c>
    </row>
    <row r="223" spans="2:4" x14ac:dyDescent="0.3">
      <c r="B223" s="13">
        <v>19116201</v>
      </c>
      <c r="C223" s="1">
        <v>1800000</v>
      </c>
      <c r="D223" s="1">
        <v>246713.85</v>
      </c>
    </row>
    <row r="224" spans="2:4" x14ac:dyDescent="0.3">
      <c r="B224" s="13">
        <v>1207359</v>
      </c>
      <c r="C224" s="1">
        <v>20000</v>
      </c>
      <c r="D224" s="1">
        <v>20448.740000000002</v>
      </c>
    </row>
    <row r="225" spans="2:4" x14ac:dyDescent="0.3">
      <c r="B225" s="13">
        <v>50882891</v>
      </c>
      <c r="C225" s="1">
        <v>3510000</v>
      </c>
      <c r="D225" s="1">
        <v>460287.85</v>
      </c>
    </row>
    <row r="226" spans="2:4" x14ac:dyDescent="0.3">
      <c r="B226" s="13">
        <v>51269185</v>
      </c>
      <c r="C226" s="1">
        <v>23250000</v>
      </c>
      <c r="D226" s="1">
        <v>929636.21</v>
      </c>
    </row>
    <row r="227" spans="2:4" x14ac:dyDescent="0.3">
      <c r="B227" s="13">
        <v>5094118</v>
      </c>
      <c r="C227" s="1">
        <v>420000</v>
      </c>
      <c r="D227" s="1">
        <v>64520.160000000003</v>
      </c>
    </row>
    <row r="228" spans="2:4" x14ac:dyDescent="0.3">
      <c r="B228" s="13">
        <v>26378274</v>
      </c>
      <c r="C228" s="1">
        <v>1970000</v>
      </c>
      <c r="D228" s="1">
        <v>94986.65</v>
      </c>
    </row>
    <row r="229" spans="2:4" x14ac:dyDescent="0.3">
      <c r="B229" s="13">
        <v>4105267</v>
      </c>
      <c r="C229" s="1">
        <v>220000</v>
      </c>
      <c r="D229" s="1">
        <v>57714.76</v>
      </c>
    </row>
    <row r="230" spans="2:4" x14ac:dyDescent="0.3">
      <c r="B230" s="13">
        <v>5792202</v>
      </c>
      <c r="C230" s="1">
        <v>680000</v>
      </c>
      <c r="D230" s="1">
        <v>140684.67000000001</v>
      </c>
    </row>
    <row r="231" spans="2:4" x14ac:dyDescent="0.3">
      <c r="B231" s="13">
        <v>988000</v>
      </c>
      <c r="C231" s="1">
        <v>10000</v>
      </c>
      <c r="D231" s="1">
        <v>2981.66</v>
      </c>
    </row>
    <row r="232" spans="2:4" x14ac:dyDescent="0.3">
      <c r="B232" s="14">
        <v>102334404</v>
      </c>
      <c r="C232" s="1">
        <v>10000</v>
      </c>
      <c r="D232" s="1">
        <v>1187005.81</v>
      </c>
    </row>
    <row r="233" spans="2:4" x14ac:dyDescent="0.3">
      <c r="B233" s="13">
        <v>9890402</v>
      </c>
      <c r="C233" s="1">
        <v>100000</v>
      </c>
      <c r="D233" s="1">
        <v>194012.04</v>
      </c>
    </row>
    <row r="234" spans="2:4" x14ac:dyDescent="0.3">
      <c r="B234" s="13">
        <v>17643054</v>
      </c>
      <c r="C234" s="1">
        <v>920000</v>
      </c>
      <c r="D234" s="1">
        <v>108456.91</v>
      </c>
    </row>
    <row r="235" spans="2:4" x14ac:dyDescent="0.3">
      <c r="B235" s="13">
        <v>46754778</v>
      </c>
      <c r="C235" s="1">
        <v>10190000</v>
      </c>
      <c r="D235" s="1">
        <v>883873.68</v>
      </c>
    </row>
    <row r="236" spans="2:4" x14ac:dyDescent="0.3">
      <c r="B236" s="13">
        <v>1326535</v>
      </c>
      <c r="C236" s="1">
        <v>770000</v>
      </c>
      <c r="D236" s="1">
        <v>25515.84</v>
      </c>
    </row>
    <row r="237" spans="2:4" x14ac:dyDescent="0.3">
      <c r="B237" s="14">
        <v>331002651</v>
      </c>
      <c r="C237" s="1">
        <v>62310000</v>
      </c>
      <c r="D237" s="1">
        <v>14047565</v>
      </c>
    </row>
    <row r="238" spans="2:4" x14ac:dyDescent="0.3">
      <c r="B238" s="13">
        <v>114963588</v>
      </c>
      <c r="C238" s="1">
        <v>60000</v>
      </c>
      <c r="D238" s="1">
        <v>185137.67</v>
      </c>
    </row>
    <row r="239" spans="2:4" x14ac:dyDescent="0.3">
      <c r="B239" s="13">
        <v>896445</v>
      </c>
      <c r="C239" s="1">
        <v>10000</v>
      </c>
      <c r="D239" s="1">
        <v>6420.18</v>
      </c>
    </row>
    <row r="240" spans="2:4" x14ac:dyDescent="0.3">
      <c r="B240" s="13">
        <v>5540720</v>
      </c>
      <c r="C240" s="1">
        <v>1140000</v>
      </c>
      <c r="D240" s="1">
        <v>131524.99</v>
      </c>
    </row>
    <row r="241" spans="2:4" x14ac:dyDescent="0.3">
      <c r="B241" s="13">
        <v>66043511</v>
      </c>
      <c r="C241" s="1">
        <v>20830000</v>
      </c>
      <c r="D241" s="1">
        <v>1484987.56</v>
      </c>
    </row>
    <row r="242" spans="2:4" x14ac:dyDescent="0.3">
      <c r="B242" s="13">
        <v>2225734</v>
      </c>
      <c r="C242" s="1">
        <v>11000</v>
      </c>
      <c r="D242" s="1">
        <v>11273.18</v>
      </c>
    </row>
    <row r="243" spans="2:4" x14ac:dyDescent="0.3">
      <c r="B243" s="13">
        <v>2416668</v>
      </c>
      <c r="C243" s="1">
        <v>10000</v>
      </c>
      <c r="D243" s="1">
        <v>4758.03</v>
      </c>
    </row>
    <row r="244" spans="2:4" x14ac:dyDescent="0.3">
      <c r="B244" s="13">
        <v>3989167</v>
      </c>
      <c r="C244" s="1">
        <v>30000</v>
      </c>
      <c r="D244" s="1">
        <v>40119.050000000003</v>
      </c>
    </row>
    <row r="245" spans="2:4" x14ac:dyDescent="0.3">
      <c r="B245" s="13">
        <v>31072940</v>
      </c>
      <c r="C245" s="1">
        <v>1160000</v>
      </c>
      <c r="D245" s="1">
        <v>130653.3</v>
      </c>
    </row>
    <row r="246" spans="2:4" x14ac:dyDescent="0.3">
      <c r="B246" s="13">
        <v>10423054</v>
      </c>
      <c r="C246" s="1">
        <v>690000</v>
      </c>
      <c r="D246" s="1">
        <v>179578.53</v>
      </c>
    </row>
    <row r="247" spans="2:4" x14ac:dyDescent="0.3">
      <c r="B247" s="13">
        <v>17915568</v>
      </c>
      <c r="C247" s="1">
        <v>720000</v>
      </c>
      <c r="D247" s="1">
        <v>108332.83</v>
      </c>
    </row>
    <row r="248" spans="2:4" x14ac:dyDescent="0.3">
      <c r="B248" s="13">
        <v>13132795</v>
      </c>
      <c r="C248" s="1">
        <v>230000</v>
      </c>
      <c r="D248" s="1">
        <v>23970.639999999999</v>
      </c>
    </row>
    <row r="249" spans="2:4" x14ac:dyDescent="0.3">
      <c r="B249" s="13">
        <v>9660351</v>
      </c>
      <c r="C249" s="1">
        <v>1970000</v>
      </c>
      <c r="D249" s="1">
        <v>141116.16</v>
      </c>
    </row>
    <row r="250" spans="2:4" x14ac:dyDescent="0.3">
      <c r="B250" s="13">
        <v>1423335385</v>
      </c>
      <c r="C250" s="1">
        <v>900000</v>
      </c>
      <c r="D250" s="1">
        <v>5676661.6900000004</v>
      </c>
    </row>
    <row r="251" spans="2:4" x14ac:dyDescent="0.3">
      <c r="B251" s="13">
        <v>83992949</v>
      </c>
      <c r="C251" s="1">
        <v>100000</v>
      </c>
      <c r="D251" s="1">
        <v>662755.5</v>
      </c>
    </row>
    <row r="252" spans="2:4" x14ac:dyDescent="0.3">
      <c r="B252" s="13">
        <v>4937786</v>
      </c>
      <c r="C252" s="1">
        <v>400000</v>
      </c>
      <c r="D252" s="1">
        <v>91607.39</v>
      </c>
    </row>
    <row r="253" spans="2:4" x14ac:dyDescent="0.3">
      <c r="B253" s="13">
        <v>341243</v>
      </c>
      <c r="C253" s="1">
        <v>10000</v>
      </c>
      <c r="D253" s="1">
        <v>9370.77</v>
      </c>
    </row>
    <row r="254" spans="2:4" x14ac:dyDescent="0.3">
      <c r="B254" s="13">
        <v>8655535</v>
      </c>
      <c r="C254" s="1">
        <v>280000</v>
      </c>
      <c r="D254" s="1">
        <v>162009.74</v>
      </c>
    </row>
    <row r="255" spans="2:4" x14ac:dyDescent="0.3">
      <c r="B255" s="13">
        <v>60628826</v>
      </c>
      <c r="C255" s="1">
        <v>8100000</v>
      </c>
      <c r="D255" s="1">
        <v>1299005.43</v>
      </c>
    </row>
    <row r="256" spans="2:4" x14ac:dyDescent="0.3">
      <c r="B256" s="13">
        <v>2961167</v>
      </c>
      <c r="C256" s="1">
        <v>500000</v>
      </c>
      <c r="D256" s="1">
        <v>19315.71</v>
      </c>
    </row>
    <row r="257" spans="2:4" x14ac:dyDescent="0.3">
      <c r="B257" s="14">
        <v>126239461</v>
      </c>
      <c r="C257" s="1">
        <v>74780000</v>
      </c>
      <c r="D257" s="1">
        <v>2543321.35</v>
      </c>
    </row>
    <row r="258" spans="2:4" x14ac:dyDescent="0.3">
      <c r="B258" s="13">
        <v>10203134</v>
      </c>
      <c r="C258" s="1">
        <v>10000</v>
      </c>
      <c r="D258" s="1">
        <v>80172.7</v>
      </c>
    </row>
    <row r="259" spans="2:4" x14ac:dyDescent="0.3">
      <c r="B259" s="13">
        <v>18776707</v>
      </c>
      <c r="C259" s="1">
        <v>720000</v>
      </c>
      <c r="D259" s="1">
        <v>264998.49</v>
      </c>
    </row>
    <row r="260" spans="2:4" x14ac:dyDescent="0.3">
      <c r="B260" s="13">
        <v>2142249</v>
      </c>
      <c r="C260" s="1">
        <v>70000</v>
      </c>
      <c r="D260" s="1">
        <v>5403.04</v>
      </c>
    </row>
    <row r="261" spans="2:4" x14ac:dyDescent="0.3">
      <c r="B261" s="13">
        <v>1886198</v>
      </c>
      <c r="C261" s="1">
        <v>960000</v>
      </c>
      <c r="D261" s="1">
        <v>28968.98</v>
      </c>
    </row>
    <row r="262" spans="2:4" x14ac:dyDescent="0.3">
      <c r="B262" s="13">
        <v>2722289</v>
      </c>
      <c r="C262" s="1">
        <v>310000</v>
      </c>
      <c r="D262" s="1">
        <v>56709.68</v>
      </c>
    </row>
    <row r="263" spans="2:4" x14ac:dyDescent="0.3">
      <c r="B263" s="13">
        <v>625978</v>
      </c>
      <c r="C263" s="1">
        <v>140000</v>
      </c>
      <c r="D263" s="1">
        <v>20455.95</v>
      </c>
    </row>
    <row r="264" spans="2:4" x14ac:dyDescent="0.3">
      <c r="B264" s="13">
        <v>2083374</v>
      </c>
      <c r="C264" s="1">
        <v>30000</v>
      </c>
      <c r="D264" s="1">
        <v>19230.849999999999</v>
      </c>
    </row>
    <row r="265" spans="2:4" x14ac:dyDescent="0.3">
      <c r="B265" s="13">
        <v>27691018</v>
      </c>
      <c r="C265" s="1">
        <v>2010000</v>
      </c>
      <c r="D265" s="1">
        <v>34915.47</v>
      </c>
    </row>
    <row r="266" spans="2:4" x14ac:dyDescent="0.3">
      <c r="B266" s="13">
        <v>32365999</v>
      </c>
      <c r="C266" s="1">
        <v>200000</v>
      </c>
      <c r="D266" s="1">
        <v>525524.07999999996</v>
      </c>
    </row>
    <row r="267" spans="2:4" x14ac:dyDescent="0.3">
      <c r="B267" s="13">
        <v>540544</v>
      </c>
      <c r="C267" s="1">
        <v>10000</v>
      </c>
      <c r="D267" s="1">
        <v>3192.24</v>
      </c>
    </row>
    <row r="268" spans="2:4" x14ac:dyDescent="0.3">
      <c r="B268" s="13">
        <v>36910560</v>
      </c>
      <c r="C268" s="1">
        <v>10000</v>
      </c>
      <c r="D268" s="1">
        <v>162870.1</v>
      </c>
    </row>
    <row r="269" spans="2:4" x14ac:dyDescent="0.3">
      <c r="B269" s="13">
        <v>1271768</v>
      </c>
      <c r="C269" s="1">
        <v>10000</v>
      </c>
      <c r="D269" s="1">
        <v>17980.84</v>
      </c>
    </row>
    <row r="270" spans="2:4" x14ac:dyDescent="0.3">
      <c r="B270" s="13">
        <v>4649658</v>
      </c>
      <c r="C270" s="1">
        <v>10000</v>
      </c>
      <c r="D270" s="1">
        <v>13174.35</v>
      </c>
    </row>
    <row r="271" spans="2:4" x14ac:dyDescent="0.3">
      <c r="B271" s="13">
        <v>128932753</v>
      </c>
      <c r="C271" s="1">
        <v>7240000</v>
      </c>
      <c r="D271" s="1">
        <v>1375224.49</v>
      </c>
    </row>
    <row r="272" spans="2:4" x14ac:dyDescent="0.3">
      <c r="B272" s="13">
        <v>4033963</v>
      </c>
      <c r="C272" s="1">
        <v>40000</v>
      </c>
      <c r="D272" s="1">
        <v>24746.880000000001</v>
      </c>
    </row>
    <row r="273" spans="2:4" x14ac:dyDescent="0.3">
      <c r="B273" s="13">
        <v>3278290</v>
      </c>
      <c r="C273" s="1">
        <v>1160000</v>
      </c>
      <c r="D273" s="1">
        <v>23009.53</v>
      </c>
    </row>
    <row r="274" spans="2:4" x14ac:dyDescent="0.3">
      <c r="B274" s="13">
        <v>628066</v>
      </c>
      <c r="C274" s="1">
        <v>20000</v>
      </c>
      <c r="D274" s="1">
        <v>7792.41</v>
      </c>
    </row>
    <row r="275" spans="2:4" x14ac:dyDescent="0.3">
      <c r="B275" s="13">
        <v>31255435</v>
      </c>
      <c r="C275" s="1">
        <v>5020000</v>
      </c>
      <c r="D275" s="1">
        <v>27952.02</v>
      </c>
    </row>
    <row r="276" spans="2:4" x14ac:dyDescent="0.3">
      <c r="B276" s="13">
        <v>2540905</v>
      </c>
      <c r="C276" s="1">
        <v>50000</v>
      </c>
      <c r="D276" s="1">
        <v>16418.54</v>
      </c>
    </row>
    <row r="277" spans="2:4" x14ac:dyDescent="0.3">
      <c r="B277" s="13">
        <v>24206644</v>
      </c>
      <c r="C277" s="1">
        <v>170000</v>
      </c>
      <c r="D277" s="1">
        <v>23492.799999999999</v>
      </c>
    </row>
    <row r="278" spans="2:4" x14ac:dyDescent="0.3">
      <c r="B278" s="13">
        <v>5421241</v>
      </c>
      <c r="C278" s="1">
        <v>600000</v>
      </c>
      <c r="D278" s="1">
        <v>140954.70000000001</v>
      </c>
    </row>
    <row r="279" spans="2:4" x14ac:dyDescent="0.3">
      <c r="B279" s="13">
        <v>4822233</v>
      </c>
      <c r="C279" s="1">
        <v>1910000</v>
      </c>
      <c r="D279" s="1">
        <v>116404.14</v>
      </c>
    </row>
    <row r="280" spans="2:4" x14ac:dyDescent="0.3">
      <c r="B280" s="13">
        <v>5106626</v>
      </c>
      <c r="C280" s="1">
        <v>10000</v>
      </c>
      <c r="D280" s="1">
        <v>64128.88</v>
      </c>
    </row>
    <row r="281" spans="2:4" x14ac:dyDescent="0.3">
      <c r="B281" s="13">
        <v>33469203</v>
      </c>
      <c r="C281" s="1">
        <v>240000</v>
      </c>
      <c r="D281" s="1">
        <v>160192.1</v>
      </c>
    </row>
    <row r="282" spans="2:4" x14ac:dyDescent="0.3">
      <c r="B282" s="13">
        <v>4314767</v>
      </c>
      <c r="C282" s="1">
        <v>200000</v>
      </c>
      <c r="D282" s="1">
        <v>61187.74</v>
      </c>
    </row>
    <row r="283" spans="2:4" x14ac:dyDescent="0.3">
      <c r="B283" s="13">
        <v>17134872</v>
      </c>
      <c r="C283" s="1">
        <v>7550000</v>
      </c>
      <c r="D283" s="1">
        <v>387296.17</v>
      </c>
    </row>
    <row r="284" spans="2:4" x14ac:dyDescent="0.3">
      <c r="B284" s="14">
        <v>109581078</v>
      </c>
      <c r="C284" s="1">
        <v>110000</v>
      </c>
      <c r="D284" s="1">
        <v>664553.68999999994</v>
      </c>
    </row>
    <row r="285" spans="2:4" x14ac:dyDescent="0.3">
      <c r="B285" s="13">
        <v>37846611</v>
      </c>
      <c r="C285" s="1">
        <v>2780000</v>
      </c>
      <c r="D285" s="1">
        <v>682405.58</v>
      </c>
    </row>
    <row r="286" spans="2:4" x14ac:dyDescent="0.3">
      <c r="B286" s="13">
        <v>10196709</v>
      </c>
      <c r="C286" s="1">
        <v>890000</v>
      </c>
      <c r="D286" s="1">
        <v>197248.96</v>
      </c>
    </row>
    <row r="287" spans="2:4" x14ac:dyDescent="0.3">
      <c r="B287" s="13">
        <v>2881053</v>
      </c>
      <c r="C287" s="1">
        <v>20000</v>
      </c>
      <c r="D287" s="1">
        <v>51350.32</v>
      </c>
    </row>
    <row r="288" spans="2:4" x14ac:dyDescent="0.3">
      <c r="B288" s="13">
        <v>10847910</v>
      </c>
      <c r="C288" s="1">
        <v>1230000</v>
      </c>
      <c r="D288" s="1">
        <v>122875.65</v>
      </c>
    </row>
    <row r="289" spans="2:4" x14ac:dyDescent="0.3">
      <c r="B289" s="13">
        <v>10708981</v>
      </c>
      <c r="C289" s="1">
        <v>8280000</v>
      </c>
      <c r="D289" s="1">
        <v>175224.04</v>
      </c>
    </row>
    <row r="290" spans="2:4" x14ac:dyDescent="0.3">
      <c r="B290" s="13">
        <v>19237691</v>
      </c>
      <c r="C290" s="1">
        <v>20000</v>
      </c>
      <c r="D290" s="1">
        <v>333708.13</v>
      </c>
    </row>
    <row r="291" spans="2:4" x14ac:dyDescent="0.3">
      <c r="B291" s="13">
        <v>67886011</v>
      </c>
      <c r="C291" s="1">
        <v>20070000</v>
      </c>
      <c r="D291" s="1">
        <v>1675747.16</v>
      </c>
    </row>
    <row r="292" spans="2:4" x14ac:dyDescent="0.3">
      <c r="B292" s="13">
        <v>145934462</v>
      </c>
      <c r="C292" s="1">
        <v>23180000</v>
      </c>
      <c r="D292" s="1">
        <v>2052553.32</v>
      </c>
    </row>
    <row r="293" spans="2:4" x14ac:dyDescent="0.3">
      <c r="B293" s="13">
        <v>12952218</v>
      </c>
      <c r="C293" s="1">
        <v>430000</v>
      </c>
      <c r="D293" s="1">
        <v>22887.58</v>
      </c>
    </row>
    <row r="294" spans="2:4" x14ac:dyDescent="0.3">
      <c r="B294" s="13">
        <v>16743927</v>
      </c>
      <c r="C294" s="1">
        <v>10000</v>
      </c>
      <c r="D294" s="1">
        <v>40957.129999999997</v>
      </c>
    </row>
    <row r="295" spans="2:4" x14ac:dyDescent="0.3">
      <c r="B295" s="13">
        <v>8737371</v>
      </c>
      <c r="C295" s="1">
        <v>260000</v>
      </c>
      <c r="D295" s="1">
        <v>73024.91</v>
      </c>
    </row>
    <row r="296" spans="2:4" x14ac:dyDescent="0.3">
      <c r="B296" s="13">
        <v>5850342</v>
      </c>
      <c r="C296" s="1">
        <v>970000</v>
      </c>
      <c r="D296" s="1">
        <v>150615.01999999999</v>
      </c>
    </row>
    <row r="297" spans="2:4" x14ac:dyDescent="0.3">
      <c r="B297" s="13">
        <v>5459642</v>
      </c>
      <c r="C297" s="1">
        <v>880000</v>
      </c>
      <c r="D297" s="1">
        <v>81896.740000000005</v>
      </c>
    </row>
    <row r="298" spans="2:4" x14ac:dyDescent="0.3">
      <c r="B298" s="13">
        <v>2078938</v>
      </c>
      <c r="C298" s="1">
        <v>380000</v>
      </c>
      <c r="D298" s="1">
        <v>36878.400000000001</v>
      </c>
    </row>
    <row r="299" spans="2:4" x14ac:dyDescent="0.3">
      <c r="B299" s="13">
        <v>10099265</v>
      </c>
      <c r="C299" s="1">
        <v>2860000</v>
      </c>
      <c r="D299" s="1">
        <v>232153.47</v>
      </c>
    </row>
    <row r="300" spans="2:4" x14ac:dyDescent="0.3">
      <c r="B300" s="13">
        <v>8654622</v>
      </c>
      <c r="C300" s="1">
        <v>1800000</v>
      </c>
      <c r="D300" s="1">
        <v>272167.7</v>
      </c>
    </row>
    <row r="301" spans="2:4" x14ac:dyDescent="0.3">
      <c r="B301" s="13">
        <v>59734218</v>
      </c>
      <c r="C301" s="1">
        <v>1000000</v>
      </c>
      <c r="D301" s="1">
        <v>104631.84</v>
      </c>
    </row>
    <row r="302" spans="2:4" x14ac:dyDescent="0.3">
      <c r="B302" s="13">
        <v>16425864</v>
      </c>
      <c r="C302" s="1">
        <v>350000</v>
      </c>
      <c r="D302" s="1">
        <v>22863.83</v>
      </c>
    </row>
    <row r="303" spans="2:4" x14ac:dyDescent="0.3">
      <c r="B303" s="13">
        <v>69799978</v>
      </c>
      <c r="C303" s="1">
        <v>200000</v>
      </c>
      <c r="D303" s="1">
        <v>653677.25</v>
      </c>
    </row>
    <row r="304" spans="2:4" x14ac:dyDescent="0.3">
      <c r="B304" s="13">
        <v>8278724</v>
      </c>
      <c r="C304" s="1">
        <v>450000</v>
      </c>
      <c r="D304" s="1">
        <v>12995.41</v>
      </c>
    </row>
    <row r="305" spans="2:4" x14ac:dyDescent="0.3">
      <c r="B305" s="13">
        <v>105695</v>
      </c>
      <c r="C305" s="1">
        <v>10000</v>
      </c>
      <c r="D305" s="1">
        <v>601.37</v>
      </c>
    </row>
    <row r="306" spans="2:4" x14ac:dyDescent="0.3">
      <c r="B306" s="15">
        <v>84339067</v>
      </c>
      <c r="C306" s="9">
        <v>960000</v>
      </c>
      <c r="D306" s="9">
        <v>1101864.07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</vt:lpstr>
      <vt:lpstr>Prévision E</vt:lpstr>
      <vt:lpstr>Prévision F</vt:lpstr>
    </vt:vector>
  </TitlesOfParts>
  <Manager/>
  <Company>Université de Nantes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Maëlle GUIVARCH</dc:creator>
  <cp:keywords/>
  <dc:description/>
  <cp:lastModifiedBy>Mathilde Jamin</cp:lastModifiedBy>
  <cp:revision/>
  <dcterms:created xsi:type="dcterms:W3CDTF">2024-01-18T15:30:45Z</dcterms:created>
  <dcterms:modified xsi:type="dcterms:W3CDTF">2024-01-19T13:59:35Z</dcterms:modified>
  <cp:category/>
  <cp:contentStatus/>
</cp:coreProperties>
</file>